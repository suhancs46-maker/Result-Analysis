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PT FILES\Student Results\UG\Results 2022-26 Batch\"/>
    </mc:Choice>
  </mc:AlternateContent>
  <bookViews>
    <workbookView xWindow="0" yWindow="0" windowWidth="16449" windowHeight="5546" activeTab="3"/>
  </bookViews>
  <sheets>
    <sheet name="1" sheetId="6" r:id="rId1"/>
    <sheet name="2" sheetId="7" r:id="rId2"/>
    <sheet name="3" sheetId="5" r:id="rId3"/>
    <sheet name="4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8" l="1"/>
  <c r="E36" i="8"/>
  <c r="E37" i="8"/>
  <c r="E38" i="8"/>
  <c r="E39" i="8"/>
  <c r="E40" i="8"/>
  <c r="E41" i="8"/>
  <c r="T22" i="8" l="1"/>
  <c r="T21" i="8"/>
  <c r="T20" i="8"/>
  <c r="E233" i="8" l="1"/>
  <c r="F233" i="8" s="1"/>
  <c r="D233" i="8"/>
  <c r="G233" i="8" s="1"/>
  <c r="A233" i="8"/>
  <c r="E232" i="8"/>
  <c r="F232" i="8" s="1"/>
  <c r="D232" i="8"/>
  <c r="G232" i="8" s="1"/>
  <c r="A232" i="8"/>
  <c r="E231" i="8"/>
  <c r="F231" i="8" s="1"/>
  <c r="D231" i="8"/>
  <c r="G231" i="8" s="1"/>
  <c r="A231" i="8"/>
  <c r="E230" i="8"/>
  <c r="F230" i="8" s="1"/>
  <c r="D230" i="8"/>
  <c r="G230" i="8" s="1"/>
  <c r="A230" i="8"/>
  <c r="E229" i="8"/>
  <c r="F229" i="8" s="1"/>
  <c r="D229" i="8"/>
  <c r="G229" i="8" s="1"/>
  <c r="A229" i="8"/>
  <c r="E228" i="8"/>
  <c r="F228" i="8" s="1"/>
  <c r="D228" i="8"/>
  <c r="G228" i="8" s="1"/>
  <c r="A228" i="8"/>
  <c r="E227" i="8"/>
  <c r="F227" i="8" s="1"/>
  <c r="D227" i="8"/>
  <c r="G227" i="8" s="1"/>
  <c r="A227" i="8"/>
  <c r="E226" i="8"/>
  <c r="F226" i="8" s="1"/>
  <c r="D226" i="8"/>
  <c r="G226" i="8" s="1"/>
  <c r="A226" i="8"/>
  <c r="E225" i="8"/>
  <c r="F225" i="8" s="1"/>
  <c r="D225" i="8"/>
  <c r="G225" i="8" s="1"/>
  <c r="A225" i="8"/>
  <c r="E224" i="8"/>
  <c r="F224" i="8" s="1"/>
  <c r="D224" i="8"/>
  <c r="G224" i="8" s="1"/>
  <c r="A224" i="8"/>
  <c r="E223" i="8"/>
  <c r="F223" i="8" s="1"/>
  <c r="D223" i="8"/>
  <c r="G223" i="8" s="1"/>
  <c r="A223" i="8"/>
  <c r="E222" i="8"/>
  <c r="F222" i="8" s="1"/>
  <c r="D222" i="8"/>
  <c r="G222" i="8" s="1"/>
  <c r="A222" i="8"/>
  <c r="E221" i="8"/>
  <c r="F221" i="8" s="1"/>
  <c r="D221" i="8"/>
  <c r="G221" i="8" s="1"/>
  <c r="A221" i="8"/>
  <c r="E220" i="8"/>
  <c r="F220" i="8" s="1"/>
  <c r="D220" i="8"/>
  <c r="G220" i="8" s="1"/>
  <c r="A220" i="8"/>
  <c r="E219" i="8"/>
  <c r="F219" i="8" s="1"/>
  <c r="D219" i="8"/>
  <c r="G219" i="8" s="1"/>
  <c r="A219" i="8"/>
  <c r="E218" i="8"/>
  <c r="F218" i="8" s="1"/>
  <c r="D218" i="8"/>
  <c r="G218" i="8" s="1"/>
  <c r="A218" i="8"/>
  <c r="E217" i="8"/>
  <c r="F217" i="8" s="1"/>
  <c r="D217" i="8"/>
  <c r="G217" i="8" s="1"/>
  <c r="A217" i="8"/>
  <c r="E216" i="8"/>
  <c r="F216" i="8" s="1"/>
  <c r="D216" i="8"/>
  <c r="G216" i="8" s="1"/>
  <c r="A216" i="8"/>
  <c r="E215" i="8"/>
  <c r="F215" i="8" s="1"/>
  <c r="D215" i="8"/>
  <c r="G215" i="8" s="1"/>
  <c r="A215" i="8"/>
  <c r="E214" i="8"/>
  <c r="F214" i="8" s="1"/>
  <c r="D214" i="8"/>
  <c r="G214" i="8" s="1"/>
  <c r="A214" i="8"/>
  <c r="E213" i="8"/>
  <c r="F213" i="8" s="1"/>
  <c r="D213" i="8"/>
  <c r="G213" i="8" s="1"/>
  <c r="A213" i="8"/>
  <c r="E212" i="8"/>
  <c r="F212" i="8" s="1"/>
  <c r="D212" i="8"/>
  <c r="G212" i="8" s="1"/>
  <c r="A212" i="8"/>
  <c r="E211" i="8"/>
  <c r="F211" i="8" s="1"/>
  <c r="D211" i="8"/>
  <c r="G211" i="8" s="1"/>
  <c r="A211" i="8"/>
  <c r="E210" i="8"/>
  <c r="F210" i="8" s="1"/>
  <c r="D210" i="8"/>
  <c r="G210" i="8" s="1"/>
  <c r="A210" i="8"/>
  <c r="E209" i="8"/>
  <c r="F209" i="8" s="1"/>
  <c r="D209" i="8"/>
  <c r="G209" i="8" s="1"/>
  <c r="A209" i="8"/>
  <c r="E208" i="8"/>
  <c r="F208" i="8" s="1"/>
  <c r="D208" i="8"/>
  <c r="G208" i="8" s="1"/>
  <c r="A208" i="8"/>
  <c r="E207" i="8"/>
  <c r="F207" i="8" s="1"/>
  <c r="D207" i="8"/>
  <c r="G207" i="8" s="1"/>
  <c r="A207" i="8"/>
  <c r="E206" i="8"/>
  <c r="F206" i="8" s="1"/>
  <c r="D206" i="8"/>
  <c r="G206" i="8" s="1"/>
  <c r="A206" i="8"/>
  <c r="E205" i="8"/>
  <c r="F205" i="8" s="1"/>
  <c r="D205" i="8"/>
  <c r="G205" i="8" s="1"/>
  <c r="A205" i="8"/>
  <c r="E204" i="8"/>
  <c r="F204" i="8" s="1"/>
  <c r="D204" i="8"/>
  <c r="G204" i="8" s="1"/>
  <c r="A204" i="8"/>
  <c r="E203" i="8"/>
  <c r="F203" i="8" s="1"/>
  <c r="D203" i="8"/>
  <c r="G203" i="8" s="1"/>
  <c r="A203" i="8"/>
  <c r="E202" i="8"/>
  <c r="F202" i="8" s="1"/>
  <c r="D202" i="8"/>
  <c r="G202" i="8" s="1"/>
  <c r="A202" i="8"/>
  <c r="E201" i="8"/>
  <c r="F201" i="8" s="1"/>
  <c r="D201" i="8"/>
  <c r="G201" i="8" s="1"/>
  <c r="A201" i="8"/>
  <c r="E200" i="8"/>
  <c r="F200" i="8" s="1"/>
  <c r="D200" i="8"/>
  <c r="G200" i="8" s="1"/>
  <c r="A200" i="8"/>
  <c r="E199" i="8"/>
  <c r="F199" i="8" s="1"/>
  <c r="D199" i="8"/>
  <c r="G199" i="8" s="1"/>
  <c r="A199" i="8"/>
  <c r="E198" i="8"/>
  <c r="F198" i="8" s="1"/>
  <c r="D198" i="8"/>
  <c r="G198" i="8" s="1"/>
  <c r="A198" i="8"/>
  <c r="E197" i="8"/>
  <c r="F197" i="8" s="1"/>
  <c r="D197" i="8"/>
  <c r="G197" i="8" s="1"/>
  <c r="A197" i="8"/>
  <c r="E196" i="8"/>
  <c r="F196" i="8" s="1"/>
  <c r="D196" i="8"/>
  <c r="G196" i="8" s="1"/>
  <c r="A196" i="8"/>
  <c r="E195" i="8"/>
  <c r="F195" i="8" s="1"/>
  <c r="D195" i="8"/>
  <c r="G195" i="8" s="1"/>
  <c r="A195" i="8"/>
  <c r="E194" i="8"/>
  <c r="F194" i="8" s="1"/>
  <c r="D194" i="8"/>
  <c r="G194" i="8" s="1"/>
  <c r="A194" i="8"/>
  <c r="E193" i="8"/>
  <c r="F193" i="8" s="1"/>
  <c r="D193" i="8"/>
  <c r="G193" i="8" s="1"/>
  <c r="A193" i="8"/>
  <c r="E192" i="8"/>
  <c r="F192" i="8" s="1"/>
  <c r="D192" i="8"/>
  <c r="G192" i="8" s="1"/>
  <c r="A192" i="8"/>
  <c r="E191" i="8"/>
  <c r="F191" i="8" s="1"/>
  <c r="D191" i="8"/>
  <c r="G191" i="8" s="1"/>
  <c r="A191" i="8"/>
  <c r="E190" i="8"/>
  <c r="F190" i="8" s="1"/>
  <c r="D190" i="8"/>
  <c r="G190" i="8" s="1"/>
  <c r="A190" i="8"/>
  <c r="E189" i="8"/>
  <c r="F189" i="8" s="1"/>
  <c r="D189" i="8"/>
  <c r="G189" i="8" s="1"/>
  <c r="A189" i="8"/>
  <c r="E188" i="8"/>
  <c r="F188" i="8" s="1"/>
  <c r="D188" i="8"/>
  <c r="G188" i="8" s="1"/>
  <c r="A188" i="8"/>
  <c r="E187" i="8"/>
  <c r="F187" i="8" s="1"/>
  <c r="D187" i="8"/>
  <c r="G187" i="8" s="1"/>
  <c r="A187" i="8"/>
  <c r="E186" i="8"/>
  <c r="F186" i="8" s="1"/>
  <c r="D186" i="8"/>
  <c r="G186" i="8" s="1"/>
  <c r="A186" i="8"/>
  <c r="E185" i="8"/>
  <c r="F185" i="8" s="1"/>
  <c r="D185" i="8"/>
  <c r="G185" i="8" s="1"/>
  <c r="A185" i="8"/>
  <c r="E184" i="8"/>
  <c r="F184" i="8" s="1"/>
  <c r="D184" i="8"/>
  <c r="G184" i="8" s="1"/>
  <c r="A184" i="8"/>
  <c r="E183" i="8"/>
  <c r="F183" i="8" s="1"/>
  <c r="D183" i="8"/>
  <c r="G183" i="8" s="1"/>
  <c r="A183" i="8"/>
  <c r="E182" i="8"/>
  <c r="F182" i="8" s="1"/>
  <c r="D182" i="8"/>
  <c r="G182" i="8" s="1"/>
  <c r="A182" i="8"/>
  <c r="E181" i="8"/>
  <c r="F181" i="8" s="1"/>
  <c r="D181" i="8"/>
  <c r="G181" i="8" s="1"/>
  <c r="A181" i="8"/>
  <c r="E180" i="8"/>
  <c r="F180" i="8" s="1"/>
  <c r="D180" i="8"/>
  <c r="G180" i="8" s="1"/>
  <c r="A180" i="8"/>
  <c r="E179" i="8"/>
  <c r="F179" i="8" s="1"/>
  <c r="D179" i="8"/>
  <c r="G179" i="8" s="1"/>
  <c r="A179" i="8"/>
  <c r="E178" i="8"/>
  <c r="F178" i="8" s="1"/>
  <c r="D178" i="8"/>
  <c r="G178" i="8" s="1"/>
  <c r="A178" i="8"/>
  <c r="E177" i="8"/>
  <c r="F177" i="8" s="1"/>
  <c r="D177" i="8"/>
  <c r="G177" i="8" s="1"/>
  <c r="A177" i="8"/>
  <c r="E176" i="8"/>
  <c r="F176" i="8" s="1"/>
  <c r="D176" i="8"/>
  <c r="G176" i="8" s="1"/>
  <c r="A176" i="8"/>
  <c r="E175" i="8"/>
  <c r="F175" i="8" s="1"/>
  <c r="D175" i="8"/>
  <c r="G175" i="8" s="1"/>
  <c r="A175" i="8"/>
  <c r="E174" i="8"/>
  <c r="F174" i="8" s="1"/>
  <c r="D174" i="8"/>
  <c r="G174" i="8" s="1"/>
  <c r="A174" i="8"/>
  <c r="E173" i="8"/>
  <c r="F173" i="8" s="1"/>
  <c r="D173" i="8"/>
  <c r="G173" i="8" s="1"/>
  <c r="A173" i="8"/>
  <c r="E172" i="8"/>
  <c r="F172" i="8" s="1"/>
  <c r="D172" i="8"/>
  <c r="G172" i="8" s="1"/>
  <c r="A172" i="8"/>
  <c r="E171" i="8"/>
  <c r="F171" i="8" s="1"/>
  <c r="D171" i="8"/>
  <c r="G171" i="8" s="1"/>
  <c r="A171" i="8"/>
  <c r="E170" i="8"/>
  <c r="F170" i="8" s="1"/>
  <c r="D170" i="8"/>
  <c r="G170" i="8" s="1"/>
  <c r="A170" i="8"/>
  <c r="E169" i="8"/>
  <c r="F169" i="8" s="1"/>
  <c r="D169" i="8"/>
  <c r="G169" i="8" s="1"/>
  <c r="A169" i="8"/>
  <c r="E168" i="8"/>
  <c r="F168" i="8" s="1"/>
  <c r="D168" i="8"/>
  <c r="G168" i="8" s="1"/>
  <c r="A168" i="8"/>
  <c r="E167" i="8"/>
  <c r="F167" i="8" s="1"/>
  <c r="D167" i="8"/>
  <c r="G167" i="8" s="1"/>
  <c r="A167" i="8"/>
  <c r="E166" i="8"/>
  <c r="F166" i="8" s="1"/>
  <c r="D166" i="8"/>
  <c r="G166" i="8" s="1"/>
  <c r="A166" i="8"/>
  <c r="E165" i="8"/>
  <c r="F165" i="8" s="1"/>
  <c r="D165" i="8"/>
  <c r="G165" i="8" s="1"/>
  <c r="A165" i="8"/>
  <c r="E164" i="8"/>
  <c r="F164" i="8" s="1"/>
  <c r="D164" i="8"/>
  <c r="G164" i="8" s="1"/>
  <c r="A164" i="8"/>
  <c r="E163" i="8"/>
  <c r="F163" i="8" s="1"/>
  <c r="D163" i="8"/>
  <c r="G163" i="8" s="1"/>
  <c r="A163" i="8"/>
  <c r="E162" i="8"/>
  <c r="F162" i="8" s="1"/>
  <c r="D162" i="8"/>
  <c r="G162" i="8" s="1"/>
  <c r="A162" i="8"/>
  <c r="E161" i="8"/>
  <c r="F161" i="8" s="1"/>
  <c r="D161" i="8"/>
  <c r="G161" i="8" s="1"/>
  <c r="A161" i="8"/>
  <c r="E160" i="8"/>
  <c r="F160" i="8" s="1"/>
  <c r="D160" i="8"/>
  <c r="G160" i="8" s="1"/>
  <c r="A160" i="8"/>
  <c r="E159" i="8"/>
  <c r="F159" i="8" s="1"/>
  <c r="D159" i="8"/>
  <c r="G159" i="8" s="1"/>
  <c r="A159" i="8"/>
  <c r="E158" i="8"/>
  <c r="F158" i="8" s="1"/>
  <c r="D158" i="8"/>
  <c r="G158" i="8" s="1"/>
  <c r="A158" i="8"/>
  <c r="E157" i="8"/>
  <c r="F157" i="8" s="1"/>
  <c r="D157" i="8"/>
  <c r="G157" i="8" s="1"/>
  <c r="A157" i="8"/>
  <c r="E156" i="8"/>
  <c r="F156" i="8" s="1"/>
  <c r="D156" i="8"/>
  <c r="G156" i="8" s="1"/>
  <c r="A156" i="8"/>
  <c r="E155" i="8"/>
  <c r="F155" i="8" s="1"/>
  <c r="D155" i="8"/>
  <c r="G155" i="8" s="1"/>
  <c r="A155" i="8"/>
  <c r="E154" i="8"/>
  <c r="F154" i="8" s="1"/>
  <c r="D154" i="8"/>
  <c r="G154" i="8" s="1"/>
  <c r="A154" i="8"/>
  <c r="E153" i="8"/>
  <c r="F153" i="8" s="1"/>
  <c r="D153" i="8"/>
  <c r="G153" i="8" s="1"/>
  <c r="A153" i="8"/>
  <c r="E152" i="8"/>
  <c r="F152" i="8" s="1"/>
  <c r="D152" i="8"/>
  <c r="G152" i="8" s="1"/>
  <c r="A152" i="8"/>
  <c r="E151" i="8"/>
  <c r="F151" i="8" s="1"/>
  <c r="D151" i="8"/>
  <c r="G151" i="8" s="1"/>
  <c r="A151" i="8"/>
  <c r="E150" i="8"/>
  <c r="F150" i="8" s="1"/>
  <c r="D150" i="8"/>
  <c r="G150" i="8" s="1"/>
  <c r="A150" i="8"/>
  <c r="E149" i="8"/>
  <c r="F149" i="8" s="1"/>
  <c r="D149" i="8"/>
  <c r="G149" i="8" s="1"/>
  <c r="A149" i="8"/>
  <c r="E148" i="8"/>
  <c r="F148" i="8" s="1"/>
  <c r="D148" i="8"/>
  <c r="G148" i="8" s="1"/>
  <c r="A148" i="8"/>
  <c r="E147" i="8"/>
  <c r="F147" i="8" s="1"/>
  <c r="D147" i="8"/>
  <c r="G147" i="8" s="1"/>
  <c r="A147" i="8"/>
  <c r="E146" i="8"/>
  <c r="F146" i="8" s="1"/>
  <c r="D146" i="8"/>
  <c r="G146" i="8" s="1"/>
  <c r="A146" i="8"/>
  <c r="E145" i="8"/>
  <c r="F145" i="8" s="1"/>
  <c r="D145" i="8"/>
  <c r="G145" i="8" s="1"/>
  <c r="A145" i="8"/>
  <c r="E144" i="8"/>
  <c r="F144" i="8" s="1"/>
  <c r="D144" i="8"/>
  <c r="G144" i="8" s="1"/>
  <c r="A144" i="8"/>
  <c r="E143" i="8"/>
  <c r="F143" i="8" s="1"/>
  <c r="D143" i="8"/>
  <c r="G143" i="8" s="1"/>
  <c r="A143" i="8"/>
  <c r="E142" i="8"/>
  <c r="F142" i="8" s="1"/>
  <c r="D142" i="8"/>
  <c r="G142" i="8" s="1"/>
  <c r="A142" i="8"/>
  <c r="E141" i="8"/>
  <c r="F141" i="8" s="1"/>
  <c r="D141" i="8"/>
  <c r="G141" i="8" s="1"/>
  <c r="A141" i="8"/>
  <c r="E140" i="8"/>
  <c r="F140" i="8" s="1"/>
  <c r="D140" i="8"/>
  <c r="G140" i="8" s="1"/>
  <c r="A140" i="8"/>
  <c r="E139" i="8"/>
  <c r="F139" i="8" s="1"/>
  <c r="D139" i="8"/>
  <c r="G139" i="8" s="1"/>
  <c r="A139" i="8"/>
  <c r="E138" i="8"/>
  <c r="F138" i="8" s="1"/>
  <c r="D138" i="8"/>
  <c r="G138" i="8" s="1"/>
  <c r="A138" i="8"/>
  <c r="E137" i="8"/>
  <c r="F137" i="8" s="1"/>
  <c r="D137" i="8"/>
  <c r="G137" i="8" s="1"/>
  <c r="A137" i="8"/>
  <c r="E136" i="8"/>
  <c r="F136" i="8" s="1"/>
  <c r="D136" i="8"/>
  <c r="G136" i="8" s="1"/>
  <c r="A136" i="8"/>
  <c r="E135" i="8"/>
  <c r="F135" i="8" s="1"/>
  <c r="D135" i="8"/>
  <c r="G135" i="8" s="1"/>
  <c r="A135" i="8"/>
  <c r="E134" i="8"/>
  <c r="F134" i="8" s="1"/>
  <c r="D134" i="8"/>
  <c r="G134" i="8" s="1"/>
  <c r="A134" i="8"/>
  <c r="E133" i="8"/>
  <c r="F133" i="8" s="1"/>
  <c r="D133" i="8"/>
  <c r="G133" i="8" s="1"/>
  <c r="A133" i="8"/>
  <c r="E132" i="8"/>
  <c r="F132" i="8" s="1"/>
  <c r="D132" i="8"/>
  <c r="G132" i="8" s="1"/>
  <c r="A132" i="8"/>
  <c r="E131" i="8"/>
  <c r="F131" i="8" s="1"/>
  <c r="D131" i="8"/>
  <c r="G131" i="8" s="1"/>
  <c r="A131" i="8"/>
  <c r="E130" i="8"/>
  <c r="F130" i="8" s="1"/>
  <c r="D130" i="8"/>
  <c r="G130" i="8" s="1"/>
  <c r="A130" i="8"/>
  <c r="E129" i="8"/>
  <c r="F129" i="8" s="1"/>
  <c r="D129" i="8"/>
  <c r="G129" i="8" s="1"/>
  <c r="A129" i="8"/>
  <c r="E128" i="8"/>
  <c r="F128" i="8" s="1"/>
  <c r="D128" i="8"/>
  <c r="G128" i="8" s="1"/>
  <c r="A128" i="8"/>
  <c r="E127" i="8"/>
  <c r="F127" i="8" s="1"/>
  <c r="D127" i="8"/>
  <c r="G127" i="8" s="1"/>
  <c r="A127" i="8"/>
  <c r="E126" i="8"/>
  <c r="F126" i="8" s="1"/>
  <c r="D126" i="8"/>
  <c r="G126" i="8" s="1"/>
  <c r="A126" i="8"/>
  <c r="E125" i="8"/>
  <c r="F125" i="8" s="1"/>
  <c r="D125" i="8"/>
  <c r="G125" i="8" s="1"/>
  <c r="A125" i="8"/>
  <c r="E124" i="8"/>
  <c r="F124" i="8" s="1"/>
  <c r="D124" i="8"/>
  <c r="G124" i="8" s="1"/>
  <c r="A124" i="8"/>
  <c r="E123" i="8"/>
  <c r="F123" i="8" s="1"/>
  <c r="D123" i="8"/>
  <c r="G123" i="8" s="1"/>
  <c r="A123" i="8"/>
  <c r="E122" i="8"/>
  <c r="F122" i="8" s="1"/>
  <c r="D122" i="8"/>
  <c r="G122" i="8" s="1"/>
  <c r="A122" i="8"/>
  <c r="E121" i="8"/>
  <c r="F121" i="8" s="1"/>
  <c r="D121" i="8"/>
  <c r="G121" i="8" s="1"/>
  <c r="A121" i="8"/>
  <c r="E120" i="8"/>
  <c r="F120" i="8" s="1"/>
  <c r="D120" i="8"/>
  <c r="G120" i="8" s="1"/>
  <c r="A120" i="8"/>
  <c r="E119" i="8"/>
  <c r="F119" i="8" s="1"/>
  <c r="D119" i="8"/>
  <c r="G119" i="8" s="1"/>
  <c r="A119" i="8"/>
  <c r="E118" i="8"/>
  <c r="F118" i="8" s="1"/>
  <c r="D118" i="8"/>
  <c r="G118" i="8" s="1"/>
  <c r="A118" i="8"/>
  <c r="E117" i="8"/>
  <c r="F117" i="8" s="1"/>
  <c r="D117" i="8"/>
  <c r="G117" i="8" s="1"/>
  <c r="A117" i="8"/>
  <c r="E116" i="8"/>
  <c r="F116" i="8" s="1"/>
  <c r="D116" i="8"/>
  <c r="G116" i="8" s="1"/>
  <c r="A116" i="8"/>
  <c r="E115" i="8"/>
  <c r="F115" i="8" s="1"/>
  <c r="D115" i="8"/>
  <c r="G115" i="8" s="1"/>
  <c r="A115" i="8"/>
  <c r="E114" i="8"/>
  <c r="F114" i="8" s="1"/>
  <c r="D114" i="8"/>
  <c r="G114" i="8" s="1"/>
  <c r="A114" i="8"/>
  <c r="E113" i="8"/>
  <c r="F113" i="8" s="1"/>
  <c r="D113" i="8"/>
  <c r="G113" i="8" s="1"/>
  <c r="A113" i="8"/>
  <c r="E112" i="8"/>
  <c r="F112" i="8" s="1"/>
  <c r="D112" i="8"/>
  <c r="G112" i="8" s="1"/>
  <c r="A112" i="8"/>
  <c r="E111" i="8"/>
  <c r="F111" i="8" s="1"/>
  <c r="D111" i="8"/>
  <c r="G111" i="8" s="1"/>
  <c r="A111" i="8"/>
  <c r="E110" i="8"/>
  <c r="F110" i="8" s="1"/>
  <c r="D110" i="8"/>
  <c r="G110" i="8" s="1"/>
  <c r="A110" i="8"/>
  <c r="E109" i="8"/>
  <c r="F109" i="8" s="1"/>
  <c r="D109" i="8"/>
  <c r="G109" i="8" s="1"/>
  <c r="A109" i="8"/>
  <c r="E108" i="8"/>
  <c r="F108" i="8" s="1"/>
  <c r="D108" i="8"/>
  <c r="G108" i="8" s="1"/>
  <c r="A108" i="8"/>
  <c r="E107" i="8"/>
  <c r="F107" i="8" s="1"/>
  <c r="D107" i="8"/>
  <c r="G107" i="8" s="1"/>
  <c r="A107" i="8"/>
  <c r="E106" i="8"/>
  <c r="F106" i="8" s="1"/>
  <c r="D106" i="8"/>
  <c r="G106" i="8" s="1"/>
  <c r="A106" i="8"/>
  <c r="E105" i="8"/>
  <c r="F105" i="8" s="1"/>
  <c r="D105" i="8"/>
  <c r="G105" i="8" s="1"/>
  <c r="A105" i="8"/>
  <c r="E104" i="8"/>
  <c r="F104" i="8" s="1"/>
  <c r="D104" i="8"/>
  <c r="G104" i="8" s="1"/>
  <c r="A104" i="8"/>
  <c r="E103" i="8"/>
  <c r="F103" i="8" s="1"/>
  <c r="D103" i="8"/>
  <c r="G103" i="8" s="1"/>
  <c r="A103" i="8"/>
  <c r="E102" i="8"/>
  <c r="F102" i="8" s="1"/>
  <c r="D102" i="8"/>
  <c r="G102" i="8" s="1"/>
  <c r="A102" i="8"/>
  <c r="E101" i="8"/>
  <c r="F101" i="8" s="1"/>
  <c r="D101" i="8"/>
  <c r="G101" i="8" s="1"/>
  <c r="A101" i="8"/>
  <c r="E100" i="8"/>
  <c r="F100" i="8" s="1"/>
  <c r="D100" i="8"/>
  <c r="G100" i="8" s="1"/>
  <c r="A100" i="8"/>
  <c r="E99" i="8"/>
  <c r="F99" i="8" s="1"/>
  <c r="D99" i="8"/>
  <c r="G99" i="8" s="1"/>
  <c r="A99" i="8"/>
  <c r="E98" i="8"/>
  <c r="F98" i="8" s="1"/>
  <c r="D98" i="8"/>
  <c r="G98" i="8" s="1"/>
  <c r="A98" i="8"/>
  <c r="E97" i="8"/>
  <c r="F97" i="8" s="1"/>
  <c r="D97" i="8"/>
  <c r="G97" i="8" s="1"/>
  <c r="A97" i="8"/>
  <c r="E96" i="8"/>
  <c r="F96" i="8" s="1"/>
  <c r="D96" i="8"/>
  <c r="G96" i="8" s="1"/>
  <c r="A96" i="8"/>
  <c r="E95" i="8"/>
  <c r="D95" i="8"/>
  <c r="G95" i="8" s="1"/>
  <c r="A95" i="8"/>
  <c r="E94" i="8"/>
  <c r="D94" i="8"/>
  <c r="G94" i="8" s="1"/>
  <c r="A94" i="8"/>
  <c r="E93" i="8"/>
  <c r="F93" i="8" s="1"/>
  <c r="D93" i="8"/>
  <c r="G93" i="8" s="1"/>
  <c r="A93" i="8"/>
  <c r="E92" i="8"/>
  <c r="F92" i="8" s="1"/>
  <c r="D92" i="8"/>
  <c r="G92" i="8" s="1"/>
  <c r="A92" i="8"/>
  <c r="E91" i="8"/>
  <c r="F91" i="8" s="1"/>
  <c r="D91" i="8"/>
  <c r="G91" i="8" s="1"/>
  <c r="A91" i="8"/>
  <c r="E90" i="8"/>
  <c r="D90" i="8"/>
  <c r="G90" i="8" s="1"/>
  <c r="A90" i="8"/>
  <c r="E89" i="8"/>
  <c r="F89" i="8" s="1"/>
  <c r="D89" i="8"/>
  <c r="G89" i="8" s="1"/>
  <c r="A89" i="8"/>
  <c r="E88" i="8"/>
  <c r="F88" i="8" s="1"/>
  <c r="D88" i="8"/>
  <c r="G88" i="8" s="1"/>
  <c r="A88" i="8"/>
  <c r="E87" i="8"/>
  <c r="D87" i="8"/>
  <c r="G87" i="8" s="1"/>
  <c r="A87" i="8"/>
  <c r="E86" i="8"/>
  <c r="D86" i="8"/>
  <c r="G86" i="8" s="1"/>
  <c r="A86" i="8"/>
  <c r="E85" i="8"/>
  <c r="D85" i="8"/>
  <c r="G85" i="8" s="1"/>
  <c r="A85" i="8"/>
  <c r="E84" i="8"/>
  <c r="F84" i="8" s="1"/>
  <c r="D84" i="8"/>
  <c r="G84" i="8" s="1"/>
  <c r="A84" i="8"/>
  <c r="E83" i="8"/>
  <c r="D83" i="8"/>
  <c r="G83" i="8" s="1"/>
  <c r="A83" i="8"/>
  <c r="E82" i="8"/>
  <c r="F82" i="8" s="1"/>
  <c r="D82" i="8"/>
  <c r="G82" i="8" s="1"/>
  <c r="A82" i="8"/>
  <c r="E81" i="8"/>
  <c r="D81" i="8"/>
  <c r="G81" i="8" s="1"/>
  <c r="A81" i="8"/>
  <c r="E80" i="8"/>
  <c r="F80" i="8" s="1"/>
  <c r="D80" i="8"/>
  <c r="G80" i="8" s="1"/>
  <c r="A80" i="8"/>
  <c r="E79" i="8"/>
  <c r="D79" i="8"/>
  <c r="G79" i="8" s="1"/>
  <c r="A79" i="8"/>
  <c r="E78" i="8"/>
  <c r="F78" i="8" s="1"/>
  <c r="D78" i="8"/>
  <c r="G78" i="8" s="1"/>
  <c r="A78" i="8"/>
  <c r="E77" i="8"/>
  <c r="F77" i="8" s="1"/>
  <c r="D77" i="8"/>
  <c r="G77" i="8" s="1"/>
  <c r="A77" i="8"/>
  <c r="E76" i="8"/>
  <c r="F76" i="8" s="1"/>
  <c r="D76" i="8"/>
  <c r="G76" i="8" s="1"/>
  <c r="A76" i="8"/>
  <c r="E75" i="8"/>
  <c r="D75" i="8"/>
  <c r="G75" i="8" s="1"/>
  <c r="A75" i="8"/>
  <c r="E74" i="8"/>
  <c r="D74" i="8"/>
  <c r="G74" i="8" s="1"/>
  <c r="A74" i="8"/>
  <c r="E73" i="8"/>
  <c r="D73" i="8"/>
  <c r="G73" i="8" s="1"/>
  <c r="A73" i="8"/>
  <c r="E72" i="8"/>
  <c r="D72" i="8"/>
  <c r="G72" i="8" s="1"/>
  <c r="A72" i="8"/>
  <c r="E71" i="8"/>
  <c r="D71" i="8"/>
  <c r="G71" i="8" s="1"/>
  <c r="A71" i="8"/>
  <c r="E70" i="8"/>
  <c r="D70" i="8"/>
  <c r="G70" i="8" s="1"/>
  <c r="A70" i="8"/>
  <c r="E69" i="8"/>
  <c r="D69" i="8"/>
  <c r="G69" i="8" s="1"/>
  <c r="A69" i="8"/>
  <c r="E68" i="8"/>
  <c r="D68" i="8"/>
  <c r="G68" i="8" s="1"/>
  <c r="A68" i="8"/>
  <c r="E67" i="8"/>
  <c r="F67" i="8" s="1"/>
  <c r="D67" i="8"/>
  <c r="G67" i="8" s="1"/>
  <c r="A67" i="8"/>
  <c r="E66" i="8"/>
  <c r="F66" i="8" s="1"/>
  <c r="D66" i="8"/>
  <c r="G66" i="8" s="1"/>
  <c r="A66" i="8"/>
  <c r="E65" i="8"/>
  <c r="F65" i="8" s="1"/>
  <c r="D65" i="8"/>
  <c r="G65" i="8" s="1"/>
  <c r="A65" i="8"/>
  <c r="E64" i="8"/>
  <c r="F64" i="8" s="1"/>
  <c r="D64" i="8"/>
  <c r="G64" i="8" s="1"/>
  <c r="A64" i="8"/>
  <c r="E63" i="8"/>
  <c r="F63" i="8" s="1"/>
  <c r="D63" i="8"/>
  <c r="G63" i="8" s="1"/>
  <c r="A63" i="8"/>
  <c r="E62" i="8"/>
  <c r="D62" i="8"/>
  <c r="G62" i="8" s="1"/>
  <c r="A62" i="8"/>
  <c r="E61" i="8"/>
  <c r="D61" i="8"/>
  <c r="G61" i="8" s="1"/>
  <c r="A61" i="8"/>
  <c r="E60" i="8"/>
  <c r="D60" i="8"/>
  <c r="G60" i="8" s="1"/>
  <c r="A60" i="8"/>
  <c r="E59" i="8"/>
  <c r="D59" i="8"/>
  <c r="G59" i="8" s="1"/>
  <c r="A59" i="8"/>
  <c r="E58" i="8"/>
  <c r="D58" i="8"/>
  <c r="G58" i="8" s="1"/>
  <c r="A58" i="8"/>
  <c r="E57" i="8"/>
  <c r="D57" i="8"/>
  <c r="G57" i="8" s="1"/>
  <c r="A57" i="8"/>
  <c r="E56" i="8"/>
  <c r="D56" i="8"/>
  <c r="G56" i="8" s="1"/>
  <c r="A56" i="8"/>
  <c r="E55" i="8"/>
  <c r="D55" i="8"/>
  <c r="G55" i="8" s="1"/>
  <c r="A55" i="8"/>
  <c r="E54" i="8"/>
  <c r="D54" i="8"/>
  <c r="G54" i="8" s="1"/>
  <c r="A54" i="8"/>
  <c r="E53" i="8"/>
  <c r="D53" i="8"/>
  <c r="G53" i="8" s="1"/>
  <c r="A53" i="8"/>
  <c r="E52" i="8"/>
  <c r="F52" i="8" s="1"/>
  <c r="D52" i="8"/>
  <c r="G52" i="8" s="1"/>
  <c r="A52" i="8"/>
  <c r="E51" i="8"/>
  <c r="D51" i="8"/>
  <c r="G51" i="8" s="1"/>
  <c r="A51" i="8"/>
  <c r="E50" i="8"/>
  <c r="F50" i="8" s="1"/>
  <c r="D50" i="8"/>
  <c r="G50" i="8" s="1"/>
  <c r="A50" i="8"/>
  <c r="E49" i="8"/>
  <c r="D49" i="8"/>
  <c r="G49" i="8" s="1"/>
  <c r="A49" i="8"/>
  <c r="E48" i="8"/>
  <c r="D48" i="8"/>
  <c r="A48" i="8"/>
  <c r="E47" i="8"/>
  <c r="D47" i="8"/>
  <c r="G47" i="8" s="1"/>
  <c r="A47" i="8"/>
  <c r="E46" i="8"/>
  <c r="F46" i="8" s="1"/>
  <c r="D46" i="8"/>
  <c r="G46" i="8" s="1"/>
  <c r="A46" i="8"/>
  <c r="E45" i="8"/>
  <c r="F45" i="8" s="1"/>
  <c r="D45" i="8"/>
  <c r="G45" i="8" s="1"/>
  <c r="A45" i="8"/>
  <c r="E44" i="8"/>
  <c r="D44" i="8"/>
  <c r="G44" i="8" s="1"/>
  <c r="A44" i="8"/>
  <c r="E43" i="8"/>
  <c r="D43" i="8"/>
  <c r="G43" i="8" s="1"/>
  <c r="A43" i="8"/>
  <c r="E42" i="8"/>
  <c r="F42" i="8" s="1"/>
  <c r="D42" i="8"/>
  <c r="G42" i="8" s="1"/>
  <c r="A42" i="8"/>
  <c r="D41" i="8"/>
  <c r="G41" i="8" s="1"/>
  <c r="A41" i="8"/>
  <c r="D40" i="8"/>
  <c r="G40" i="8" s="1"/>
  <c r="A40" i="8"/>
  <c r="F39" i="8"/>
  <c r="D39" i="8"/>
  <c r="G39" i="8" s="1"/>
  <c r="A39" i="8"/>
  <c r="D38" i="8"/>
  <c r="G38" i="8" s="1"/>
  <c r="A38" i="8"/>
  <c r="D37" i="8"/>
  <c r="G37" i="8" s="1"/>
  <c r="A37" i="8"/>
  <c r="F36" i="8"/>
  <c r="D36" i="8"/>
  <c r="G36" i="8" s="1"/>
  <c r="A36" i="8"/>
  <c r="D35" i="8"/>
  <c r="G35" i="8" s="1"/>
  <c r="A35" i="8"/>
  <c r="V34" i="8"/>
  <c r="S34" i="8"/>
  <c r="R34" i="8"/>
  <c r="Q34" i="8"/>
  <c r="P34" i="8"/>
  <c r="O34" i="8"/>
  <c r="N34" i="8"/>
  <c r="M34" i="8"/>
  <c r="L34" i="8"/>
  <c r="K34" i="8"/>
  <c r="J34" i="8"/>
  <c r="I34" i="8"/>
  <c r="H34" i="8"/>
  <c r="X33" i="8"/>
  <c r="V33" i="8"/>
  <c r="T33" i="8"/>
  <c r="R33" i="8"/>
  <c r="P33" i="8"/>
  <c r="N33" i="8"/>
  <c r="L33" i="8"/>
  <c r="J33" i="8"/>
  <c r="H33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X23" i="8"/>
  <c r="V23" i="8"/>
  <c r="T23" i="8"/>
  <c r="R23" i="8"/>
  <c r="P23" i="8"/>
  <c r="N23" i="8"/>
  <c r="L23" i="8"/>
  <c r="J23" i="8"/>
  <c r="H23" i="8"/>
  <c r="X22" i="8"/>
  <c r="V22" i="8"/>
  <c r="R22" i="8"/>
  <c r="P22" i="8"/>
  <c r="N22" i="8"/>
  <c r="L22" i="8"/>
  <c r="J22" i="8"/>
  <c r="H22" i="8"/>
  <c r="X21" i="8"/>
  <c r="V21" i="8"/>
  <c r="R21" i="8"/>
  <c r="P21" i="8"/>
  <c r="N21" i="8"/>
  <c r="L21" i="8"/>
  <c r="J21" i="8"/>
  <c r="H21" i="8"/>
  <c r="X20" i="8"/>
  <c r="V20" i="8"/>
  <c r="R20" i="8"/>
  <c r="P20" i="8"/>
  <c r="N20" i="8"/>
  <c r="L20" i="8"/>
  <c r="J20" i="8"/>
  <c r="H20" i="8"/>
  <c r="X19" i="8"/>
  <c r="V19" i="8"/>
  <c r="T19" i="8"/>
  <c r="R19" i="8"/>
  <c r="P19" i="8"/>
  <c r="N19" i="8"/>
  <c r="L19" i="8"/>
  <c r="J19" i="8"/>
  <c r="H19" i="8"/>
  <c r="X18" i="8"/>
  <c r="V18" i="8"/>
  <c r="T18" i="8"/>
  <c r="R18" i="8"/>
  <c r="P18" i="8"/>
  <c r="N18" i="8"/>
  <c r="L18" i="8"/>
  <c r="J18" i="8"/>
  <c r="H18" i="8"/>
  <c r="X16" i="8"/>
  <c r="V16" i="8"/>
  <c r="T16" i="8"/>
  <c r="R16" i="8"/>
  <c r="P16" i="8"/>
  <c r="N16" i="8"/>
  <c r="L16" i="8"/>
  <c r="J16" i="8"/>
  <c r="H16" i="8"/>
  <c r="A14" i="8"/>
  <c r="A13" i="8"/>
  <c r="A12" i="8"/>
  <c r="A11" i="8"/>
  <c r="A10" i="8"/>
  <c r="A9" i="8"/>
  <c r="A8" i="8"/>
  <c r="A7" i="8"/>
  <c r="A6" i="8"/>
  <c r="F47" i="8" l="1"/>
  <c r="F51" i="8"/>
  <c r="F69" i="8"/>
  <c r="F72" i="8"/>
  <c r="F83" i="8"/>
  <c r="F85" i="8"/>
  <c r="H17" i="8"/>
  <c r="H29" i="8" s="1"/>
  <c r="F35" i="8"/>
  <c r="P17" i="8"/>
  <c r="P29" i="8" s="1"/>
  <c r="X17" i="8"/>
  <c r="X29" i="8" s="1"/>
  <c r="F49" i="8"/>
  <c r="F60" i="8"/>
  <c r="F87" i="8"/>
  <c r="F59" i="8"/>
  <c r="N17" i="8"/>
  <c r="N29" i="8" s="1"/>
  <c r="V17" i="8"/>
  <c r="V29" i="8" s="1"/>
  <c r="L17" i="8"/>
  <c r="L29" i="8" s="1"/>
  <c r="T17" i="8"/>
  <c r="T29" i="8" s="1"/>
  <c r="F37" i="8"/>
  <c r="F81" i="8"/>
  <c r="J17" i="8"/>
  <c r="J29" i="8" s="1"/>
  <c r="R17" i="8"/>
  <c r="R29" i="8" s="1"/>
  <c r="D18" i="8"/>
  <c r="E23" i="8"/>
  <c r="D27" i="8"/>
  <c r="F41" i="8"/>
  <c r="F73" i="8"/>
  <c r="F56" i="8"/>
  <c r="F61" i="8"/>
  <c r="F70" i="8"/>
  <c r="D25" i="8"/>
  <c r="F44" i="8"/>
  <c r="F57" i="8"/>
  <c r="D24" i="8"/>
  <c r="F53" i="8"/>
  <c r="F54" i="8"/>
  <c r="F68" i="8"/>
  <c r="F74" i="8"/>
  <c r="F95" i="8"/>
  <c r="F75" i="8"/>
  <c r="F79" i="8"/>
  <c r="D26" i="8"/>
  <c r="G48" i="8"/>
  <c r="F48" i="8" s="1"/>
  <c r="E19" i="8"/>
  <c r="F38" i="8"/>
  <c r="F40" i="8"/>
  <c r="F71" i="8"/>
  <c r="F86" i="8"/>
  <c r="F90" i="8"/>
  <c r="F94" i="8"/>
  <c r="F55" i="8"/>
  <c r="F58" i="8"/>
  <c r="F62" i="8"/>
  <c r="F43" i="8"/>
  <c r="E234" i="7"/>
  <c r="F234" i="7" s="1"/>
  <c r="D234" i="7"/>
  <c r="G234" i="7" s="1"/>
  <c r="A234" i="7"/>
  <c r="E233" i="7"/>
  <c r="F233" i="7" s="1"/>
  <c r="D233" i="7"/>
  <c r="G233" i="7" s="1"/>
  <c r="A233" i="7"/>
  <c r="E232" i="7"/>
  <c r="F232" i="7" s="1"/>
  <c r="D232" i="7"/>
  <c r="G232" i="7" s="1"/>
  <c r="A232" i="7"/>
  <c r="E231" i="7"/>
  <c r="F231" i="7" s="1"/>
  <c r="D231" i="7"/>
  <c r="G231" i="7" s="1"/>
  <c r="A231" i="7"/>
  <c r="E230" i="7"/>
  <c r="F230" i="7" s="1"/>
  <c r="D230" i="7"/>
  <c r="G230" i="7" s="1"/>
  <c r="A230" i="7"/>
  <c r="E229" i="7"/>
  <c r="F229" i="7" s="1"/>
  <c r="D229" i="7"/>
  <c r="G229" i="7" s="1"/>
  <c r="A229" i="7"/>
  <c r="E228" i="7"/>
  <c r="F228" i="7" s="1"/>
  <c r="D228" i="7"/>
  <c r="G228" i="7" s="1"/>
  <c r="A228" i="7"/>
  <c r="E227" i="7"/>
  <c r="F227" i="7" s="1"/>
  <c r="D227" i="7"/>
  <c r="G227" i="7" s="1"/>
  <c r="A227" i="7"/>
  <c r="E226" i="7"/>
  <c r="F226" i="7" s="1"/>
  <c r="D226" i="7"/>
  <c r="G226" i="7" s="1"/>
  <c r="A226" i="7"/>
  <c r="E225" i="7"/>
  <c r="F225" i="7" s="1"/>
  <c r="D225" i="7"/>
  <c r="G225" i="7" s="1"/>
  <c r="A225" i="7"/>
  <c r="E224" i="7"/>
  <c r="F224" i="7" s="1"/>
  <c r="D224" i="7"/>
  <c r="G224" i="7" s="1"/>
  <c r="A224" i="7"/>
  <c r="E223" i="7"/>
  <c r="F223" i="7" s="1"/>
  <c r="D223" i="7"/>
  <c r="G223" i="7" s="1"/>
  <c r="A223" i="7"/>
  <c r="E222" i="7"/>
  <c r="F222" i="7" s="1"/>
  <c r="D222" i="7"/>
  <c r="G222" i="7" s="1"/>
  <c r="A222" i="7"/>
  <c r="E221" i="7"/>
  <c r="F221" i="7" s="1"/>
  <c r="D221" i="7"/>
  <c r="G221" i="7" s="1"/>
  <c r="A221" i="7"/>
  <c r="E220" i="7"/>
  <c r="F220" i="7" s="1"/>
  <c r="D220" i="7"/>
  <c r="G220" i="7" s="1"/>
  <c r="A220" i="7"/>
  <c r="E219" i="7"/>
  <c r="F219" i="7" s="1"/>
  <c r="D219" i="7"/>
  <c r="G219" i="7" s="1"/>
  <c r="A219" i="7"/>
  <c r="E218" i="7"/>
  <c r="F218" i="7" s="1"/>
  <c r="D218" i="7"/>
  <c r="G218" i="7" s="1"/>
  <c r="A218" i="7"/>
  <c r="E217" i="7"/>
  <c r="F217" i="7" s="1"/>
  <c r="D217" i="7"/>
  <c r="G217" i="7" s="1"/>
  <c r="A217" i="7"/>
  <c r="E216" i="7"/>
  <c r="F216" i="7" s="1"/>
  <c r="D216" i="7"/>
  <c r="G216" i="7" s="1"/>
  <c r="A216" i="7"/>
  <c r="E215" i="7"/>
  <c r="F215" i="7" s="1"/>
  <c r="D215" i="7"/>
  <c r="G215" i="7" s="1"/>
  <c r="A215" i="7"/>
  <c r="E214" i="7"/>
  <c r="F214" i="7" s="1"/>
  <c r="D214" i="7"/>
  <c r="G214" i="7" s="1"/>
  <c r="A214" i="7"/>
  <c r="E213" i="7"/>
  <c r="F213" i="7" s="1"/>
  <c r="D213" i="7"/>
  <c r="G213" i="7" s="1"/>
  <c r="A213" i="7"/>
  <c r="E212" i="7"/>
  <c r="F212" i="7" s="1"/>
  <c r="D212" i="7"/>
  <c r="G212" i="7" s="1"/>
  <c r="A212" i="7"/>
  <c r="E211" i="7"/>
  <c r="F211" i="7" s="1"/>
  <c r="D211" i="7"/>
  <c r="G211" i="7" s="1"/>
  <c r="A211" i="7"/>
  <c r="E210" i="7"/>
  <c r="F210" i="7" s="1"/>
  <c r="D210" i="7"/>
  <c r="G210" i="7" s="1"/>
  <c r="A210" i="7"/>
  <c r="E209" i="7"/>
  <c r="F209" i="7" s="1"/>
  <c r="D209" i="7"/>
  <c r="G209" i="7" s="1"/>
  <c r="A209" i="7"/>
  <c r="E208" i="7"/>
  <c r="F208" i="7" s="1"/>
  <c r="D208" i="7"/>
  <c r="G208" i="7" s="1"/>
  <c r="A208" i="7"/>
  <c r="E207" i="7"/>
  <c r="F207" i="7" s="1"/>
  <c r="D207" i="7"/>
  <c r="G207" i="7" s="1"/>
  <c r="A207" i="7"/>
  <c r="E206" i="7"/>
  <c r="F206" i="7" s="1"/>
  <c r="D206" i="7"/>
  <c r="G206" i="7" s="1"/>
  <c r="A206" i="7"/>
  <c r="E205" i="7"/>
  <c r="F205" i="7" s="1"/>
  <c r="D205" i="7"/>
  <c r="G205" i="7" s="1"/>
  <c r="A205" i="7"/>
  <c r="E204" i="7"/>
  <c r="F204" i="7" s="1"/>
  <c r="D204" i="7"/>
  <c r="G204" i="7" s="1"/>
  <c r="A204" i="7"/>
  <c r="E203" i="7"/>
  <c r="F203" i="7" s="1"/>
  <c r="D203" i="7"/>
  <c r="G203" i="7" s="1"/>
  <c r="A203" i="7"/>
  <c r="E202" i="7"/>
  <c r="F202" i="7" s="1"/>
  <c r="D202" i="7"/>
  <c r="G202" i="7" s="1"/>
  <c r="A202" i="7"/>
  <c r="E201" i="7"/>
  <c r="F201" i="7" s="1"/>
  <c r="D201" i="7"/>
  <c r="G201" i="7" s="1"/>
  <c r="A201" i="7"/>
  <c r="E200" i="7"/>
  <c r="F200" i="7" s="1"/>
  <c r="D200" i="7"/>
  <c r="G200" i="7" s="1"/>
  <c r="A200" i="7"/>
  <c r="E199" i="7"/>
  <c r="F199" i="7" s="1"/>
  <c r="D199" i="7"/>
  <c r="G199" i="7" s="1"/>
  <c r="A199" i="7"/>
  <c r="E198" i="7"/>
  <c r="F198" i="7" s="1"/>
  <c r="D198" i="7"/>
  <c r="G198" i="7" s="1"/>
  <c r="A198" i="7"/>
  <c r="E197" i="7"/>
  <c r="F197" i="7" s="1"/>
  <c r="D197" i="7"/>
  <c r="G197" i="7" s="1"/>
  <c r="A197" i="7"/>
  <c r="E196" i="7"/>
  <c r="F196" i="7" s="1"/>
  <c r="D196" i="7"/>
  <c r="G196" i="7" s="1"/>
  <c r="A196" i="7"/>
  <c r="E195" i="7"/>
  <c r="F195" i="7" s="1"/>
  <c r="D195" i="7"/>
  <c r="G195" i="7" s="1"/>
  <c r="A195" i="7"/>
  <c r="E194" i="7"/>
  <c r="F194" i="7" s="1"/>
  <c r="D194" i="7"/>
  <c r="G194" i="7" s="1"/>
  <c r="A194" i="7"/>
  <c r="E193" i="7"/>
  <c r="F193" i="7" s="1"/>
  <c r="D193" i="7"/>
  <c r="G193" i="7" s="1"/>
  <c r="A193" i="7"/>
  <c r="E192" i="7"/>
  <c r="F192" i="7" s="1"/>
  <c r="D192" i="7"/>
  <c r="G192" i="7" s="1"/>
  <c r="A192" i="7"/>
  <c r="E191" i="7"/>
  <c r="F191" i="7" s="1"/>
  <c r="D191" i="7"/>
  <c r="G191" i="7" s="1"/>
  <c r="A191" i="7"/>
  <c r="E190" i="7"/>
  <c r="F190" i="7" s="1"/>
  <c r="D190" i="7"/>
  <c r="G190" i="7" s="1"/>
  <c r="A190" i="7"/>
  <c r="E189" i="7"/>
  <c r="F189" i="7" s="1"/>
  <c r="D189" i="7"/>
  <c r="G189" i="7" s="1"/>
  <c r="A189" i="7"/>
  <c r="E188" i="7"/>
  <c r="F188" i="7" s="1"/>
  <c r="D188" i="7"/>
  <c r="G188" i="7" s="1"/>
  <c r="A188" i="7"/>
  <c r="E187" i="7"/>
  <c r="F187" i="7" s="1"/>
  <c r="D187" i="7"/>
  <c r="G187" i="7" s="1"/>
  <c r="A187" i="7"/>
  <c r="E186" i="7"/>
  <c r="F186" i="7" s="1"/>
  <c r="D186" i="7"/>
  <c r="G186" i="7" s="1"/>
  <c r="A186" i="7"/>
  <c r="E185" i="7"/>
  <c r="F185" i="7" s="1"/>
  <c r="D185" i="7"/>
  <c r="G185" i="7" s="1"/>
  <c r="A185" i="7"/>
  <c r="E184" i="7"/>
  <c r="F184" i="7" s="1"/>
  <c r="D184" i="7"/>
  <c r="G184" i="7" s="1"/>
  <c r="A184" i="7"/>
  <c r="E183" i="7"/>
  <c r="F183" i="7" s="1"/>
  <c r="D183" i="7"/>
  <c r="G183" i="7" s="1"/>
  <c r="A183" i="7"/>
  <c r="E182" i="7"/>
  <c r="F182" i="7" s="1"/>
  <c r="D182" i="7"/>
  <c r="G182" i="7" s="1"/>
  <c r="A182" i="7"/>
  <c r="E181" i="7"/>
  <c r="F181" i="7" s="1"/>
  <c r="D181" i="7"/>
  <c r="G181" i="7" s="1"/>
  <c r="A181" i="7"/>
  <c r="E180" i="7"/>
  <c r="F180" i="7" s="1"/>
  <c r="D180" i="7"/>
  <c r="G180" i="7" s="1"/>
  <c r="A180" i="7"/>
  <c r="E179" i="7"/>
  <c r="F179" i="7" s="1"/>
  <c r="D179" i="7"/>
  <c r="G179" i="7" s="1"/>
  <c r="A179" i="7"/>
  <c r="E178" i="7"/>
  <c r="F178" i="7" s="1"/>
  <c r="D178" i="7"/>
  <c r="G178" i="7" s="1"/>
  <c r="A178" i="7"/>
  <c r="E177" i="7"/>
  <c r="F177" i="7" s="1"/>
  <c r="D177" i="7"/>
  <c r="G177" i="7" s="1"/>
  <c r="A177" i="7"/>
  <c r="E176" i="7"/>
  <c r="F176" i="7" s="1"/>
  <c r="D176" i="7"/>
  <c r="G176" i="7" s="1"/>
  <c r="A176" i="7"/>
  <c r="E175" i="7"/>
  <c r="F175" i="7" s="1"/>
  <c r="D175" i="7"/>
  <c r="G175" i="7" s="1"/>
  <c r="A175" i="7"/>
  <c r="E174" i="7"/>
  <c r="F174" i="7" s="1"/>
  <c r="D174" i="7"/>
  <c r="G174" i="7" s="1"/>
  <c r="A174" i="7"/>
  <c r="E173" i="7"/>
  <c r="F173" i="7" s="1"/>
  <c r="D173" i="7"/>
  <c r="G173" i="7" s="1"/>
  <c r="A173" i="7"/>
  <c r="E172" i="7"/>
  <c r="F172" i="7" s="1"/>
  <c r="D172" i="7"/>
  <c r="G172" i="7" s="1"/>
  <c r="A172" i="7"/>
  <c r="E171" i="7"/>
  <c r="F171" i="7" s="1"/>
  <c r="D171" i="7"/>
  <c r="G171" i="7" s="1"/>
  <c r="A171" i="7"/>
  <c r="E170" i="7"/>
  <c r="F170" i="7" s="1"/>
  <c r="D170" i="7"/>
  <c r="G170" i="7" s="1"/>
  <c r="A170" i="7"/>
  <c r="E169" i="7"/>
  <c r="F169" i="7" s="1"/>
  <c r="D169" i="7"/>
  <c r="G169" i="7" s="1"/>
  <c r="A169" i="7"/>
  <c r="E168" i="7"/>
  <c r="F168" i="7" s="1"/>
  <c r="D168" i="7"/>
  <c r="G168" i="7" s="1"/>
  <c r="A168" i="7"/>
  <c r="E167" i="7"/>
  <c r="F167" i="7" s="1"/>
  <c r="D167" i="7"/>
  <c r="G167" i="7" s="1"/>
  <c r="A167" i="7"/>
  <c r="E166" i="7"/>
  <c r="F166" i="7" s="1"/>
  <c r="D166" i="7"/>
  <c r="G166" i="7" s="1"/>
  <c r="A166" i="7"/>
  <c r="E165" i="7"/>
  <c r="F165" i="7" s="1"/>
  <c r="D165" i="7"/>
  <c r="G165" i="7" s="1"/>
  <c r="A165" i="7"/>
  <c r="E164" i="7"/>
  <c r="F164" i="7" s="1"/>
  <c r="D164" i="7"/>
  <c r="G164" i="7" s="1"/>
  <c r="A164" i="7"/>
  <c r="E163" i="7"/>
  <c r="F163" i="7" s="1"/>
  <c r="D163" i="7"/>
  <c r="G163" i="7" s="1"/>
  <c r="A163" i="7"/>
  <c r="E162" i="7"/>
  <c r="F162" i="7" s="1"/>
  <c r="D162" i="7"/>
  <c r="G162" i="7" s="1"/>
  <c r="A162" i="7"/>
  <c r="E161" i="7"/>
  <c r="F161" i="7" s="1"/>
  <c r="D161" i="7"/>
  <c r="G161" i="7" s="1"/>
  <c r="A161" i="7"/>
  <c r="E160" i="7"/>
  <c r="F160" i="7" s="1"/>
  <c r="D160" i="7"/>
  <c r="G160" i="7" s="1"/>
  <c r="A160" i="7"/>
  <c r="E159" i="7"/>
  <c r="F159" i="7" s="1"/>
  <c r="D159" i="7"/>
  <c r="G159" i="7" s="1"/>
  <c r="A159" i="7"/>
  <c r="E158" i="7"/>
  <c r="F158" i="7" s="1"/>
  <c r="D158" i="7"/>
  <c r="G158" i="7" s="1"/>
  <c r="A158" i="7"/>
  <c r="E157" i="7"/>
  <c r="F157" i="7" s="1"/>
  <c r="D157" i="7"/>
  <c r="G157" i="7" s="1"/>
  <c r="A157" i="7"/>
  <c r="E156" i="7"/>
  <c r="F156" i="7" s="1"/>
  <c r="D156" i="7"/>
  <c r="G156" i="7" s="1"/>
  <c r="A156" i="7"/>
  <c r="E155" i="7"/>
  <c r="F155" i="7" s="1"/>
  <c r="D155" i="7"/>
  <c r="G155" i="7" s="1"/>
  <c r="A155" i="7"/>
  <c r="E154" i="7"/>
  <c r="F154" i="7" s="1"/>
  <c r="D154" i="7"/>
  <c r="G154" i="7" s="1"/>
  <c r="A154" i="7"/>
  <c r="E153" i="7"/>
  <c r="F153" i="7" s="1"/>
  <c r="D153" i="7"/>
  <c r="G153" i="7" s="1"/>
  <c r="A153" i="7"/>
  <c r="E152" i="7"/>
  <c r="F152" i="7" s="1"/>
  <c r="D152" i="7"/>
  <c r="G152" i="7" s="1"/>
  <c r="A152" i="7"/>
  <c r="E151" i="7"/>
  <c r="F151" i="7" s="1"/>
  <c r="D151" i="7"/>
  <c r="G151" i="7" s="1"/>
  <c r="A151" i="7"/>
  <c r="E150" i="7"/>
  <c r="F150" i="7" s="1"/>
  <c r="D150" i="7"/>
  <c r="G150" i="7" s="1"/>
  <c r="A150" i="7"/>
  <c r="E149" i="7"/>
  <c r="F149" i="7" s="1"/>
  <c r="D149" i="7"/>
  <c r="G149" i="7" s="1"/>
  <c r="A149" i="7"/>
  <c r="G148" i="7"/>
  <c r="E148" i="7"/>
  <c r="F148" i="7" s="1"/>
  <c r="D148" i="7"/>
  <c r="A148" i="7"/>
  <c r="E147" i="7"/>
  <c r="F147" i="7" s="1"/>
  <c r="D147" i="7"/>
  <c r="G147" i="7" s="1"/>
  <c r="A147" i="7"/>
  <c r="G146" i="7"/>
  <c r="E146" i="7"/>
  <c r="F146" i="7" s="1"/>
  <c r="D146" i="7"/>
  <c r="A146" i="7"/>
  <c r="E145" i="7"/>
  <c r="F145" i="7" s="1"/>
  <c r="D145" i="7"/>
  <c r="G145" i="7" s="1"/>
  <c r="A145" i="7"/>
  <c r="G144" i="7"/>
  <c r="E144" i="7"/>
  <c r="F144" i="7" s="1"/>
  <c r="D144" i="7"/>
  <c r="A144" i="7"/>
  <c r="E143" i="7"/>
  <c r="F143" i="7" s="1"/>
  <c r="D143" i="7"/>
  <c r="G143" i="7" s="1"/>
  <c r="A143" i="7"/>
  <c r="G142" i="7"/>
  <c r="E142" i="7"/>
  <c r="F142" i="7" s="1"/>
  <c r="D142" i="7"/>
  <c r="A142" i="7"/>
  <c r="E141" i="7"/>
  <c r="F141" i="7" s="1"/>
  <c r="D141" i="7"/>
  <c r="G141" i="7" s="1"/>
  <c r="A141" i="7"/>
  <c r="G140" i="7"/>
  <c r="E140" i="7"/>
  <c r="F140" i="7" s="1"/>
  <c r="D140" i="7"/>
  <c r="A140" i="7"/>
  <c r="E139" i="7"/>
  <c r="F139" i="7" s="1"/>
  <c r="D139" i="7"/>
  <c r="G139" i="7" s="1"/>
  <c r="A139" i="7"/>
  <c r="G138" i="7"/>
  <c r="E138" i="7"/>
  <c r="F138" i="7" s="1"/>
  <c r="D138" i="7"/>
  <c r="A138" i="7"/>
  <c r="E137" i="7"/>
  <c r="F137" i="7" s="1"/>
  <c r="D137" i="7"/>
  <c r="G137" i="7" s="1"/>
  <c r="A137" i="7"/>
  <c r="G136" i="7"/>
  <c r="E136" i="7"/>
  <c r="F136" i="7" s="1"/>
  <c r="D136" i="7"/>
  <c r="A136" i="7"/>
  <c r="E135" i="7"/>
  <c r="F135" i="7" s="1"/>
  <c r="D135" i="7"/>
  <c r="G135" i="7" s="1"/>
  <c r="A135" i="7"/>
  <c r="G134" i="7"/>
  <c r="E134" i="7"/>
  <c r="F134" i="7" s="1"/>
  <c r="D134" i="7"/>
  <c r="A134" i="7"/>
  <c r="E133" i="7"/>
  <c r="F133" i="7" s="1"/>
  <c r="D133" i="7"/>
  <c r="G133" i="7" s="1"/>
  <c r="A133" i="7"/>
  <c r="G132" i="7"/>
  <c r="E132" i="7"/>
  <c r="F132" i="7" s="1"/>
  <c r="D132" i="7"/>
  <c r="A132" i="7"/>
  <c r="E131" i="7"/>
  <c r="F131" i="7" s="1"/>
  <c r="D131" i="7"/>
  <c r="G131" i="7" s="1"/>
  <c r="A131" i="7"/>
  <c r="G130" i="7"/>
  <c r="E130" i="7"/>
  <c r="F130" i="7" s="1"/>
  <c r="D130" i="7"/>
  <c r="A130" i="7"/>
  <c r="E129" i="7"/>
  <c r="F129" i="7" s="1"/>
  <c r="D129" i="7"/>
  <c r="G129" i="7" s="1"/>
  <c r="A129" i="7"/>
  <c r="G128" i="7"/>
  <c r="E128" i="7"/>
  <c r="F128" i="7" s="1"/>
  <c r="D128" i="7"/>
  <c r="A128" i="7"/>
  <c r="E127" i="7"/>
  <c r="F127" i="7" s="1"/>
  <c r="D127" i="7"/>
  <c r="G127" i="7" s="1"/>
  <c r="A127" i="7"/>
  <c r="G126" i="7"/>
  <c r="E126" i="7"/>
  <c r="F126" i="7" s="1"/>
  <c r="D126" i="7"/>
  <c r="A126" i="7"/>
  <c r="E125" i="7"/>
  <c r="F125" i="7" s="1"/>
  <c r="D125" i="7"/>
  <c r="G125" i="7" s="1"/>
  <c r="A125" i="7"/>
  <c r="G124" i="7"/>
  <c r="E124" i="7"/>
  <c r="F124" i="7" s="1"/>
  <c r="D124" i="7"/>
  <c r="A124" i="7"/>
  <c r="E123" i="7"/>
  <c r="F123" i="7" s="1"/>
  <c r="D123" i="7"/>
  <c r="G123" i="7" s="1"/>
  <c r="A123" i="7"/>
  <c r="G122" i="7"/>
  <c r="E122" i="7"/>
  <c r="F122" i="7" s="1"/>
  <c r="D122" i="7"/>
  <c r="A122" i="7"/>
  <c r="E121" i="7"/>
  <c r="F121" i="7" s="1"/>
  <c r="D121" i="7"/>
  <c r="G121" i="7" s="1"/>
  <c r="A121" i="7"/>
  <c r="G120" i="7"/>
  <c r="E120" i="7"/>
  <c r="F120" i="7" s="1"/>
  <c r="D120" i="7"/>
  <c r="A120" i="7"/>
  <c r="E119" i="7"/>
  <c r="F119" i="7" s="1"/>
  <c r="D119" i="7"/>
  <c r="G119" i="7" s="1"/>
  <c r="A119" i="7"/>
  <c r="G118" i="7"/>
  <c r="E118" i="7"/>
  <c r="F118" i="7" s="1"/>
  <c r="D118" i="7"/>
  <c r="A118" i="7"/>
  <c r="E117" i="7"/>
  <c r="F117" i="7" s="1"/>
  <c r="D117" i="7"/>
  <c r="G117" i="7" s="1"/>
  <c r="A117" i="7"/>
  <c r="G116" i="7"/>
  <c r="E116" i="7"/>
  <c r="F116" i="7" s="1"/>
  <c r="D116" i="7"/>
  <c r="A116" i="7"/>
  <c r="E115" i="7"/>
  <c r="F115" i="7" s="1"/>
  <c r="D115" i="7"/>
  <c r="G115" i="7" s="1"/>
  <c r="A115" i="7"/>
  <c r="G114" i="7"/>
  <c r="E114" i="7"/>
  <c r="F114" i="7" s="1"/>
  <c r="D114" i="7"/>
  <c r="A114" i="7"/>
  <c r="E113" i="7"/>
  <c r="F113" i="7" s="1"/>
  <c r="D113" i="7"/>
  <c r="G113" i="7" s="1"/>
  <c r="A113" i="7"/>
  <c r="G112" i="7"/>
  <c r="E112" i="7"/>
  <c r="F112" i="7" s="1"/>
  <c r="D112" i="7"/>
  <c r="A112" i="7"/>
  <c r="E111" i="7"/>
  <c r="F111" i="7" s="1"/>
  <c r="D111" i="7"/>
  <c r="G111" i="7" s="1"/>
  <c r="A111" i="7"/>
  <c r="G110" i="7"/>
  <c r="E110" i="7"/>
  <c r="F110" i="7" s="1"/>
  <c r="D110" i="7"/>
  <c r="A110" i="7"/>
  <c r="E109" i="7"/>
  <c r="F109" i="7" s="1"/>
  <c r="D109" i="7"/>
  <c r="G109" i="7" s="1"/>
  <c r="A109" i="7"/>
  <c r="G108" i="7"/>
  <c r="E108" i="7"/>
  <c r="F108" i="7" s="1"/>
  <c r="D108" i="7"/>
  <c r="A108" i="7"/>
  <c r="E107" i="7"/>
  <c r="F107" i="7" s="1"/>
  <c r="D107" i="7"/>
  <c r="G107" i="7" s="1"/>
  <c r="A107" i="7"/>
  <c r="G106" i="7"/>
  <c r="E106" i="7"/>
  <c r="F106" i="7" s="1"/>
  <c r="D106" i="7"/>
  <c r="A106" i="7"/>
  <c r="E105" i="7"/>
  <c r="F105" i="7" s="1"/>
  <c r="D105" i="7"/>
  <c r="G105" i="7" s="1"/>
  <c r="A105" i="7"/>
  <c r="G104" i="7"/>
  <c r="E104" i="7"/>
  <c r="F104" i="7" s="1"/>
  <c r="D104" i="7"/>
  <c r="A104" i="7"/>
  <c r="E103" i="7"/>
  <c r="F103" i="7" s="1"/>
  <c r="D103" i="7"/>
  <c r="G103" i="7" s="1"/>
  <c r="A103" i="7"/>
  <c r="G102" i="7"/>
  <c r="E102" i="7"/>
  <c r="F102" i="7" s="1"/>
  <c r="D102" i="7"/>
  <c r="A102" i="7"/>
  <c r="E101" i="7"/>
  <c r="F101" i="7" s="1"/>
  <c r="D101" i="7"/>
  <c r="G101" i="7" s="1"/>
  <c r="A101" i="7"/>
  <c r="G100" i="7"/>
  <c r="E100" i="7"/>
  <c r="F100" i="7" s="1"/>
  <c r="D100" i="7"/>
  <c r="A100" i="7"/>
  <c r="E99" i="7"/>
  <c r="F99" i="7" s="1"/>
  <c r="D99" i="7"/>
  <c r="G99" i="7" s="1"/>
  <c r="A99" i="7"/>
  <c r="G98" i="7"/>
  <c r="E98" i="7"/>
  <c r="F98" i="7" s="1"/>
  <c r="D98" i="7"/>
  <c r="A98" i="7"/>
  <c r="E97" i="7"/>
  <c r="F97" i="7" s="1"/>
  <c r="D97" i="7"/>
  <c r="G97" i="7" s="1"/>
  <c r="A97" i="7"/>
  <c r="G96" i="7"/>
  <c r="E96" i="7"/>
  <c r="F96" i="7" s="1"/>
  <c r="D96" i="7"/>
  <c r="A96" i="7"/>
  <c r="E95" i="7"/>
  <c r="F95" i="7" s="1"/>
  <c r="D95" i="7"/>
  <c r="G95" i="7" s="1"/>
  <c r="A95" i="7"/>
  <c r="G94" i="7"/>
  <c r="E94" i="7"/>
  <c r="F94" i="7" s="1"/>
  <c r="D94" i="7"/>
  <c r="A94" i="7"/>
  <c r="E93" i="7"/>
  <c r="F93" i="7" s="1"/>
  <c r="D93" i="7"/>
  <c r="G93" i="7" s="1"/>
  <c r="A93" i="7"/>
  <c r="G92" i="7"/>
  <c r="E92" i="7"/>
  <c r="F92" i="7" s="1"/>
  <c r="D92" i="7"/>
  <c r="A92" i="7"/>
  <c r="E91" i="7"/>
  <c r="F91" i="7" s="1"/>
  <c r="D91" i="7"/>
  <c r="G91" i="7" s="1"/>
  <c r="A91" i="7"/>
  <c r="G90" i="7"/>
  <c r="E90" i="7"/>
  <c r="F90" i="7" s="1"/>
  <c r="D90" i="7"/>
  <c r="A90" i="7"/>
  <c r="E89" i="7"/>
  <c r="D89" i="7"/>
  <c r="G89" i="7" s="1"/>
  <c r="A89" i="7"/>
  <c r="E88" i="7"/>
  <c r="F88" i="7" s="1"/>
  <c r="D88" i="7"/>
  <c r="G88" i="7" s="1"/>
  <c r="A88" i="7"/>
  <c r="E87" i="7"/>
  <c r="F87" i="7" s="1"/>
  <c r="D87" i="7"/>
  <c r="G87" i="7" s="1"/>
  <c r="A87" i="7"/>
  <c r="E86" i="7"/>
  <c r="F86" i="7" s="1"/>
  <c r="D86" i="7"/>
  <c r="G86" i="7" s="1"/>
  <c r="A86" i="7"/>
  <c r="E85" i="7"/>
  <c r="D85" i="7"/>
  <c r="G85" i="7" s="1"/>
  <c r="A85" i="7"/>
  <c r="E84" i="7"/>
  <c r="F84" i="7" s="1"/>
  <c r="D84" i="7"/>
  <c r="G84" i="7" s="1"/>
  <c r="A84" i="7"/>
  <c r="E83" i="7"/>
  <c r="D83" i="7"/>
  <c r="G83" i="7" s="1"/>
  <c r="A83" i="7"/>
  <c r="G82" i="7"/>
  <c r="E82" i="7"/>
  <c r="F82" i="7" s="1"/>
  <c r="D82" i="7"/>
  <c r="A82" i="7"/>
  <c r="F81" i="7"/>
  <c r="E81" i="7"/>
  <c r="D81" i="7"/>
  <c r="G81" i="7" s="1"/>
  <c r="A81" i="7"/>
  <c r="G80" i="7"/>
  <c r="E80" i="7"/>
  <c r="F80" i="7" s="1"/>
  <c r="D80" i="7"/>
  <c r="A80" i="7"/>
  <c r="E79" i="7"/>
  <c r="D79" i="7"/>
  <c r="G79" i="7" s="1"/>
  <c r="A79" i="7"/>
  <c r="G78" i="7"/>
  <c r="E78" i="7"/>
  <c r="F78" i="7" s="1"/>
  <c r="D78" i="7"/>
  <c r="A78" i="7"/>
  <c r="E77" i="7"/>
  <c r="D77" i="7"/>
  <c r="G77" i="7" s="1"/>
  <c r="A77" i="7"/>
  <c r="E76" i="7"/>
  <c r="F76" i="7" s="1"/>
  <c r="D76" i="7"/>
  <c r="G76" i="7" s="1"/>
  <c r="A76" i="7"/>
  <c r="E75" i="7"/>
  <c r="D75" i="7"/>
  <c r="G75" i="7" s="1"/>
  <c r="A75" i="7"/>
  <c r="E74" i="7"/>
  <c r="F74" i="7" s="1"/>
  <c r="D74" i="7"/>
  <c r="G74" i="7" s="1"/>
  <c r="A74" i="7"/>
  <c r="E73" i="7"/>
  <c r="D73" i="7"/>
  <c r="G73" i="7" s="1"/>
  <c r="A73" i="7"/>
  <c r="E72" i="7"/>
  <c r="F72" i="7" s="1"/>
  <c r="D72" i="7"/>
  <c r="G72" i="7" s="1"/>
  <c r="A72" i="7"/>
  <c r="E71" i="7"/>
  <c r="D71" i="7"/>
  <c r="G71" i="7" s="1"/>
  <c r="A71" i="7"/>
  <c r="E70" i="7"/>
  <c r="F70" i="7" s="1"/>
  <c r="D70" i="7"/>
  <c r="G70" i="7" s="1"/>
  <c r="A70" i="7"/>
  <c r="E69" i="7"/>
  <c r="D69" i="7"/>
  <c r="G69" i="7" s="1"/>
  <c r="A69" i="7"/>
  <c r="E68" i="7"/>
  <c r="F68" i="7" s="1"/>
  <c r="D68" i="7"/>
  <c r="G68" i="7" s="1"/>
  <c r="A68" i="7"/>
  <c r="E67" i="7"/>
  <c r="F67" i="7" s="1"/>
  <c r="D67" i="7"/>
  <c r="G67" i="7" s="1"/>
  <c r="A67" i="7"/>
  <c r="E66" i="7"/>
  <c r="D66" i="7"/>
  <c r="G66" i="7" s="1"/>
  <c r="A66" i="7"/>
  <c r="E65" i="7"/>
  <c r="F65" i="7" s="1"/>
  <c r="D65" i="7"/>
  <c r="G65" i="7" s="1"/>
  <c r="A65" i="7"/>
  <c r="F64" i="7"/>
  <c r="E64" i="7"/>
  <c r="D64" i="7"/>
  <c r="G64" i="7" s="1"/>
  <c r="A64" i="7"/>
  <c r="E63" i="7"/>
  <c r="F63" i="7" s="1"/>
  <c r="D63" i="7"/>
  <c r="G63" i="7" s="1"/>
  <c r="A63" i="7"/>
  <c r="E62" i="7"/>
  <c r="D62" i="7"/>
  <c r="G62" i="7" s="1"/>
  <c r="A62" i="7"/>
  <c r="E61" i="7"/>
  <c r="F61" i="7" s="1"/>
  <c r="D61" i="7"/>
  <c r="G61" i="7" s="1"/>
  <c r="A61" i="7"/>
  <c r="E60" i="7"/>
  <c r="F60" i="7" s="1"/>
  <c r="D60" i="7"/>
  <c r="G60" i="7" s="1"/>
  <c r="A60" i="7"/>
  <c r="E59" i="7"/>
  <c r="F59" i="7" s="1"/>
  <c r="D59" i="7"/>
  <c r="G59" i="7" s="1"/>
  <c r="A59" i="7"/>
  <c r="E58" i="7"/>
  <c r="F58" i="7" s="1"/>
  <c r="D58" i="7"/>
  <c r="G58" i="7" s="1"/>
  <c r="A58" i="7"/>
  <c r="E57" i="7"/>
  <c r="D57" i="7"/>
  <c r="G57" i="7" s="1"/>
  <c r="A57" i="7"/>
  <c r="E56" i="7"/>
  <c r="F56" i="7" s="1"/>
  <c r="D56" i="7"/>
  <c r="G56" i="7" s="1"/>
  <c r="A56" i="7"/>
  <c r="E55" i="7"/>
  <c r="F55" i="7" s="1"/>
  <c r="D55" i="7"/>
  <c r="G55" i="7" s="1"/>
  <c r="A55" i="7"/>
  <c r="E54" i="7"/>
  <c r="D54" i="7"/>
  <c r="G54" i="7" s="1"/>
  <c r="A54" i="7"/>
  <c r="E53" i="7"/>
  <c r="F53" i="7" s="1"/>
  <c r="D53" i="7"/>
  <c r="G53" i="7" s="1"/>
  <c r="A53" i="7"/>
  <c r="E52" i="7"/>
  <c r="F52" i="7" s="1"/>
  <c r="D52" i="7"/>
  <c r="G52" i="7" s="1"/>
  <c r="A52" i="7"/>
  <c r="E51" i="7"/>
  <c r="F51" i="7" s="1"/>
  <c r="D51" i="7"/>
  <c r="G51" i="7" s="1"/>
  <c r="A51" i="7"/>
  <c r="E50" i="7"/>
  <c r="F50" i="7" s="1"/>
  <c r="D50" i="7"/>
  <c r="G50" i="7" s="1"/>
  <c r="A50" i="7"/>
  <c r="E49" i="7"/>
  <c r="F49" i="7" s="1"/>
  <c r="D49" i="7"/>
  <c r="G49" i="7" s="1"/>
  <c r="A49" i="7"/>
  <c r="E48" i="7"/>
  <c r="F48" i="7" s="1"/>
  <c r="D48" i="7"/>
  <c r="G48" i="7" s="1"/>
  <c r="A48" i="7"/>
  <c r="E47" i="7"/>
  <c r="F47" i="7" s="1"/>
  <c r="D47" i="7"/>
  <c r="G47" i="7" s="1"/>
  <c r="A47" i="7"/>
  <c r="E46" i="7"/>
  <c r="F46" i="7" s="1"/>
  <c r="D46" i="7"/>
  <c r="G46" i="7" s="1"/>
  <c r="A46" i="7"/>
  <c r="E45" i="7"/>
  <c r="F45" i="7" s="1"/>
  <c r="D45" i="7"/>
  <c r="G45" i="7" s="1"/>
  <c r="A45" i="7"/>
  <c r="G44" i="7"/>
  <c r="E44" i="7"/>
  <c r="F44" i="7" s="1"/>
  <c r="D44" i="7"/>
  <c r="A44" i="7"/>
  <c r="G43" i="7"/>
  <c r="E43" i="7"/>
  <c r="D43" i="7"/>
  <c r="A43" i="7"/>
  <c r="E42" i="7"/>
  <c r="F42" i="7" s="1"/>
  <c r="D42" i="7"/>
  <c r="G42" i="7" s="1"/>
  <c r="A42" i="7"/>
  <c r="E41" i="7"/>
  <c r="D41" i="7"/>
  <c r="G41" i="7" s="1"/>
  <c r="A41" i="7"/>
  <c r="E40" i="7"/>
  <c r="D40" i="7"/>
  <c r="G40" i="7" s="1"/>
  <c r="A40" i="7"/>
  <c r="E39" i="7"/>
  <c r="D39" i="7"/>
  <c r="G39" i="7" s="1"/>
  <c r="F39" i="7" s="1"/>
  <c r="A39" i="7"/>
  <c r="E38" i="7"/>
  <c r="D38" i="7"/>
  <c r="A38" i="7"/>
  <c r="E37" i="7"/>
  <c r="D21" i="7" s="1"/>
  <c r="D37" i="7"/>
  <c r="G37" i="7" s="1"/>
  <c r="A37" i="7"/>
  <c r="E36" i="7"/>
  <c r="D36" i="7"/>
  <c r="G36" i="7" s="1"/>
  <c r="F36" i="7" s="1"/>
  <c r="A36" i="7"/>
  <c r="E35" i="7"/>
  <c r="D35" i="7"/>
  <c r="G35" i="7" s="1"/>
  <c r="F35" i="7" s="1"/>
  <c r="A35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V33" i="7"/>
  <c r="T33" i="7"/>
  <c r="R33" i="7"/>
  <c r="P33" i="7"/>
  <c r="N33" i="7"/>
  <c r="L33" i="7"/>
  <c r="J33" i="7"/>
  <c r="H33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V21" i="7"/>
  <c r="T21" i="7"/>
  <c r="R21" i="7"/>
  <c r="P21" i="7"/>
  <c r="N21" i="7"/>
  <c r="L21" i="7"/>
  <c r="J21" i="7"/>
  <c r="H21" i="7"/>
  <c r="V20" i="7"/>
  <c r="T20" i="7"/>
  <c r="R20" i="7"/>
  <c r="P20" i="7"/>
  <c r="N20" i="7"/>
  <c r="L20" i="7"/>
  <c r="J20" i="7"/>
  <c r="H20" i="7"/>
  <c r="V19" i="7"/>
  <c r="T19" i="7"/>
  <c r="R19" i="7"/>
  <c r="P19" i="7"/>
  <c r="N19" i="7"/>
  <c r="L19" i="7"/>
  <c r="J19" i="7"/>
  <c r="H19" i="7"/>
  <c r="V18" i="7"/>
  <c r="T18" i="7"/>
  <c r="R18" i="7"/>
  <c r="P18" i="7"/>
  <c r="N18" i="7"/>
  <c r="L18" i="7"/>
  <c r="J18" i="7"/>
  <c r="H18" i="7"/>
  <c r="V17" i="7"/>
  <c r="T17" i="7"/>
  <c r="R17" i="7"/>
  <c r="R15" i="7" s="1"/>
  <c r="R27" i="7" s="1"/>
  <c r="P17" i="7"/>
  <c r="N17" i="7"/>
  <c r="L17" i="7"/>
  <c r="J17" i="7"/>
  <c r="H17" i="7"/>
  <c r="D17" i="7"/>
  <c r="V16" i="7"/>
  <c r="T16" i="7"/>
  <c r="R16" i="7"/>
  <c r="P16" i="7"/>
  <c r="P15" i="7" s="1"/>
  <c r="P27" i="7" s="1"/>
  <c r="N16" i="7"/>
  <c r="L16" i="7"/>
  <c r="L15" i="7" s="1"/>
  <c r="L27" i="7" s="1"/>
  <c r="J16" i="7"/>
  <c r="H16" i="7"/>
  <c r="H15" i="7" s="1"/>
  <c r="H27" i="7" s="1"/>
  <c r="D16" i="7"/>
  <c r="T15" i="7"/>
  <c r="T27" i="7" s="1"/>
  <c r="V14" i="7"/>
  <c r="T14" i="7"/>
  <c r="R14" i="7"/>
  <c r="P14" i="7"/>
  <c r="N14" i="7"/>
  <c r="L14" i="7"/>
  <c r="J14" i="7"/>
  <c r="H14" i="7"/>
  <c r="A13" i="7"/>
  <c r="A12" i="7"/>
  <c r="A11" i="7"/>
  <c r="A10" i="7"/>
  <c r="A9" i="7"/>
  <c r="A8" i="7"/>
  <c r="A7" i="7"/>
  <c r="A6" i="7"/>
  <c r="E21" i="8" l="1"/>
  <c r="D17" i="8"/>
  <c r="D29" i="8" s="1"/>
  <c r="E22" i="8"/>
  <c r="E20" i="8"/>
  <c r="F43" i="7"/>
  <c r="F85" i="7"/>
  <c r="D15" i="7"/>
  <c r="D27" i="7" s="1"/>
  <c r="N15" i="7"/>
  <c r="N27" i="7" s="1"/>
  <c r="V15" i="7"/>
  <c r="V27" i="7" s="1"/>
  <c r="F40" i="7"/>
  <c r="J15" i="7"/>
  <c r="J27" i="7" s="1"/>
  <c r="D23" i="7"/>
  <c r="F75" i="7"/>
  <c r="F73" i="7"/>
  <c r="F83" i="7"/>
  <c r="D22" i="7"/>
  <c r="D24" i="7"/>
  <c r="F71" i="7"/>
  <c r="F79" i="7"/>
  <c r="F69" i="7"/>
  <c r="F77" i="7"/>
  <c r="F89" i="7"/>
  <c r="F37" i="7"/>
  <c r="F41" i="7"/>
  <c r="F54" i="7"/>
  <c r="F57" i="7"/>
  <c r="F62" i="7"/>
  <c r="D25" i="7"/>
  <c r="G38" i="7"/>
  <c r="F38" i="7" s="1"/>
  <c r="F66" i="7"/>
  <c r="G234" i="6"/>
  <c r="E234" i="6"/>
  <c r="F234" i="6" s="1"/>
  <c r="D234" i="6"/>
  <c r="A234" i="6"/>
  <c r="E233" i="6"/>
  <c r="F233" i="6" s="1"/>
  <c r="D233" i="6"/>
  <c r="G233" i="6" s="1"/>
  <c r="A233" i="6"/>
  <c r="G232" i="6"/>
  <c r="E232" i="6"/>
  <c r="F232" i="6" s="1"/>
  <c r="D232" i="6"/>
  <c r="A232" i="6"/>
  <c r="E231" i="6"/>
  <c r="F231" i="6" s="1"/>
  <c r="D231" i="6"/>
  <c r="G231" i="6" s="1"/>
  <c r="A231" i="6"/>
  <c r="G230" i="6"/>
  <c r="E230" i="6"/>
  <c r="F230" i="6" s="1"/>
  <c r="D230" i="6"/>
  <c r="A230" i="6"/>
  <c r="E229" i="6"/>
  <c r="F229" i="6" s="1"/>
  <c r="D229" i="6"/>
  <c r="G229" i="6" s="1"/>
  <c r="A229" i="6"/>
  <c r="G228" i="6"/>
  <c r="E228" i="6"/>
  <c r="F228" i="6" s="1"/>
  <c r="D228" i="6"/>
  <c r="A228" i="6"/>
  <c r="E227" i="6"/>
  <c r="F227" i="6" s="1"/>
  <c r="D227" i="6"/>
  <c r="G227" i="6" s="1"/>
  <c r="A227" i="6"/>
  <c r="G226" i="6"/>
  <c r="E226" i="6"/>
  <c r="F226" i="6" s="1"/>
  <c r="D226" i="6"/>
  <c r="A226" i="6"/>
  <c r="E225" i="6"/>
  <c r="F225" i="6" s="1"/>
  <c r="D225" i="6"/>
  <c r="G225" i="6" s="1"/>
  <c r="A225" i="6"/>
  <c r="G224" i="6"/>
  <c r="E224" i="6"/>
  <c r="F224" i="6" s="1"/>
  <c r="D224" i="6"/>
  <c r="A224" i="6"/>
  <c r="E223" i="6"/>
  <c r="F223" i="6" s="1"/>
  <c r="D223" i="6"/>
  <c r="G223" i="6" s="1"/>
  <c r="A223" i="6"/>
  <c r="G222" i="6"/>
  <c r="E222" i="6"/>
  <c r="F222" i="6" s="1"/>
  <c r="D222" i="6"/>
  <c r="A222" i="6"/>
  <c r="E221" i="6"/>
  <c r="F221" i="6" s="1"/>
  <c r="D221" i="6"/>
  <c r="G221" i="6" s="1"/>
  <c r="A221" i="6"/>
  <c r="G220" i="6"/>
  <c r="E220" i="6"/>
  <c r="F220" i="6" s="1"/>
  <c r="D220" i="6"/>
  <c r="A220" i="6"/>
  <c r="E219" i="6"/>
  <c r="F219" i="6" s="1"/>
  <c r="D219" i="6"/>
  <c r="G219" i="6" s="1"/>
  <c r="A219" i="6"/>
  <c r="G218" i="6"/>
  <c r="E218" i="6"/>
  <c r="F218" i="6" s="1"/>
  <c r="D218" i="6"/>
  <c r="A218" i="6"/>
  <c r="E217" i="6"/>
  <c r="F217" i="6" s="1"/>
  <c r="D217" i="6"/>
  <c r="G217" i="6" s="1"/>
  <c r="A217" i="6"/>
  <c r="G216" i="6"/>
  <c r="E216" i="6"/>
  <c r="F216" i="6" s="1"/>
  <c r="D216" i="6"/>
  <c r="A216" i="6"/>
  <c r="E215" i="6"/>
  <c r="F215" i="6" s="1"/>
  <c r="D215" i="6"/>
  <c r="G215" i="6" s="1"/>
  <c r="A215" i="6"/>
  <c r="G214" i="6"/>
  <c r="E214" i="6"/>
  <c r="F214" i="6" s="1"/>
  <c r="D214" i="6"/>
  <c r="A214" i="6"/>
  <c r="E213" i="6"/>
  <c r="F213" i="6" s="1"/>
  <c r="D213" i="6"/>
  <c r="G213" i="6" s="1"/>
  <c r="A213" i="6"/>
  <c r="G212" i="6"/>
  <c r="E212" i="6"/>
  <c r="F212" i="6" s="1"/>
  <c r="D212" i="6"/>
  <c r="A212" i="6"/>
  <c r="E211" i="6"/>
  <c r="F211" i="6" s="1"/>
  <c r="D211" i="6"/>
  <c r="G211" i="6" s="1"/>
  <c r="A211" i="6"/>
  <c r="G210" i="6"/>
  <c r="E210" i="6"/>
  <c r="F210" i="6" s="1"/>
  <c r="D210" i="6"/>
  <c r="A210" i="6"/>
  <c r="E209" i="6"/>
  <c r="F209" i="6" s="1"/>
  <c r="D209" i="6"/>
  <c r="G209" i="6" s="1"/>
  <c r="A209" i="6"/>
  <c r="G208" i="6"/>
  <c r="E208" i="6"/>
  <c r="F208" i="6" s="1"/>
  <c r="D208" i="6"/>
  <c r="A208" i="6"/>
  <c r="E207" i="6"/>
  <c r="F207" i="6" s="1"/>
  <c r="D207" i="6"/>
  <c r="G207" i="6" s="1"/>
  <c r="A207" i="6"/>
  <c r="G206" i="6"/>
  <c r="E206" i="6"/>
  <c r="F206" i="6" s="1"/>
  <c r="D206" i="6"/>
  <c r="A206" i="6"/>
  <c r="E205" i="6"/>
  <c r="F205" i="6" s="1"/>
  <c r="D205" i="6"/>
  <c r="G205" i="6" s="1"/>
  <c r="A205" i="6"/>
  <c r="G204" i="6"/>
  <c r="E204" i="6"/>
  <c r="F204" i="6" s="1"/>
  <c r="D204" i="6"/>
  <c r="A204" i="6"/>
  <c r="E203" i="6"/>
  <c r="F203" i="6" s="1"/>
  <c r="D203" i="6"/>
  <c r="G203" i="6" s="1"/>
  <c r="A203" i="6"/>
  <c r="G202" i="6"/>
  <c r="E202" i="6"/>
  <c r="F202" i="6" s="1"/>
  <c r="D202" i="6"/>
  <c r="A202" i="6"/>
  <c r="E201" i="6"/>
  <c r="F201" i="6" s="1"/>
  <c r="D201" i="6"/>
  <c r="G201" i="6" s="1"/>
  <c r="A201" i="6"/>
  <c r="G200" i="6"/>
  <c r="E200" i="6"/>
  <c r="F200" i="6" s="1"/>
  <c r="D200" i="6"/>
  <c r="A200" i="6"/>
  <c r="E199" i="6"/>
  <c r="F199" i="6" s="1"/>
  <c r="D199" i="6"/>
  <c r="G199" i="6" s="1"/>
  <c r="A199" i="6"/>
  <c r="G198" i="6"/>
  <c r="E198" i="6"/>
  <c r="F198" i="6" s="1"/>
  <c r="D198" i="6"/>
  <c r="A198" i="6"/>
  <c r="E197" i="6"/>
  <c r="F197" i="6" s="1"/>
  <c r="D197" i="6"/>
  <c r="G197" i="6" s="1"/>
  <c r="A197" i="6"/>
  <c r="G196" i="6"/>
  <c r="E196" i="6"/>
  <c r="F196" i="6" s="1"/>
  <c r="D196" i="6"/>
  <c r="A196" i="6"/>
  <c r="E195" i="6"/>
  <c r="F195" i="6" s="1"/>
  <c r="D195" i="6"/>
  <c r="G195" i="6" s="1"/>
  <c r="A195" i="6"/>
  <c r="G194" i="6"/>
  <c r="E194" i="6"/>
  <c r="F194" i="6" s="1"/>
  <c r="D194" i="6"/>
  <c r="A194" i="6"/>
  <c r="E193" i="6"/>
  <c r="F193" i="6" s="1"/>
  <c r="D193" i="6"/>
  <c r="G193" i="6" s="1"/>
  <c r="A193" i="6"/>
  <c r="G192" i="6"/>
  <c r="E192" i="6"/>
  <c r="F192" i="6" s="1"/>
  <c r="D192" i="6"/>
  <c r="A192" i="6"/>
  <c r="E191" i="6"/>
  <c r="F191" i="6" s="1"/>
  <c r="D191" i="6"/>
  <c r="G191" i="6" s="1"/>
  <c r="A191" i="6"/>
  <c r="G190" i="6"/>
  <c r="E190" i="6"/>
  <c r="F190" i="6" s="1"/>
  <c r="D190" i="6"/>
  <c r="A190" i="6"/>
  <c r="E189" i="6"/>
  <c r="F189" i="6" s="1"/>
  <c r="D189" i="6"/>
  <c r="G189" i="6" s="1"/>
  <c r="A189" i="6"/>
  <c r="G188" i="6"/>
  <c r="E188" i="6"/>
  <c r="F188" i="6" s="1"/>
  <c r="D188" i="6"/>
  <c r="A188" i="6"/>
  <c r="E187" i="6"/>
  <c r="F187" i="6" s="1"/>
  <c r="D187" i="6"/>
  <c r="G187" i="6" s="1"/>
  <c r="A187" i="6"/>
  <c r="G186" i="6"/>
  <c r="E186" i="6"/>
  <c r="F186" i="6" s="1"/>
  <c r="D186" i="6"/>
  <c r="A186" i="6"/>
  <c r="E185" i="6"/>
  <c r="F185" i="6" s="1"/>
  <c r="D185" i="6"/>
  <c r="G185" i="6" s="1"/>
  <c r="A185" i="6"/>
  <c r="G184" i="6"/>
  <c r="E184" i="6"/>
  <c r="F184" i="6" s="1"/>
  <c r="D184" i="6"/>
  <c r="A184" i="6"/>
  <c r="E183" i="6"/>
  <c r="F183" i="6" s="1"/>
  <c r="D183" i="6"/>
  <c r="G183" i="6" s="1"/>
  <c r="A183" i="6"/>
  <c r="G182" i="6"/>
  <c r="E182" i="6"/>
  <c r="F182" i="6" s="1"/>
  <c r="D182" i="6"/>
  <c r="A182" i="6"/>
  <c r="E181" i="6"/>
  <c r="F181" i="6" s="1"/>
  <c r="D181" i="6"/>
  <c r="G181" i="6" s="1"/>
  <c r="A181" i="6"/>
  <c r="G180" i="6"/>
  <c r="E180" i="6"/>
  <c r="F180" i="6" s="1"/>
  <c r="D180" i="6"/>
  <c r="A180" i="6"/>
  <c r="E179" i="6"/>
  <c r="F179" i="6" s="1"/>
  <c r="D179" i="6"/>
  <c r="G179" i="6" s="1"/>
  <c r="A179" i="6"/>
  <c r="G178" i="6"/>
  <c r="E178" i="6"/>
  <c r="F178" i="6" s="1"/>
  <c r="D178" i="6"/>
  <c r="A178" i="6"/>
  <c r="E177" i="6"/>
  <c r="F177" i="6" s="1"/>
  <c r="D177" i="6"/>
  <c r="G177" i="6" s="1"/>
  <c r="A177" i="6"/>
  <c r="G176" i="6"/>
  <c r="E176" i="6"/>
  <c r="F176" i="6" s="1"/>
  <c r="D176" i="6"/>
  <c r="A176" i="6"/>
  <c r="E175" i="6"/>
  <c r="F175" i="6" s="1"/>
  <c r="D175" i="6"/>
  <c r="G175" i="6" s="1"/>
  <c r="A175" i="6"/>
  <c r="G174" i="6"/>
  <c r="E174" i="6"/>
  <c r="F174" i="6" s="1"/>
  <c r="D174" i="6"/>
  <c r="A174" i="6"/>
  <c r="E173" i="6"/>
  <c r="F173" i="6" s="1"/>
  <c r="D173" i="6"/>
  <c r="G173" i="6" s="1"/>
  <c r="A173" i="6"/>
  <c r="G172" i="6"/>
  <c r="E172" i="6"/>
  <c r="F172" i="6" s="1"/>
  <c r="D172" i="6"/>
  <c r="A172" i="6"/>
  <c r="E171" i="6"/>
  <c r="F171" i="6" s="1"/>
  <c r="D171" i="6"/>
  <c r="G171" i="6" s="1"/>
  <c r="A171" i="6"/>
  <c r="G170" i="6"/>
  <c r="E170" i="6"/>
  <c r="F170" i="6" s="1"/>
  <c r="D170" i="6"/>
  <c r="A170" i="6"/>
  <c r="E169" i="6"/>
  <c r="F169" i="6" s="1"/>
  <c r="D169" i="6"/>
  <c r="G169" i="6" s="1"/>
  <c r="A169" i="6"/>
  <c r="G168" i="6"/>
  <c r="E168" i="6"/>
  <c r="F168" i="6" s="1"/>
  <c r="D168" i="6"/>
  <c r="A168" i="6"/>
  <c r="E167" i="6"/>
  <c r="F167" i="6" s="1"/>
  <c r="D167" i="6"/>
  <c r="G167" i="6" s="1"/>
  <c r="A167" i="6"/>
  <c r="G166" i="6"/>
  <c r="E166" i="6"/>
  <c r="F166" i="6" s="1"/>
  <c r="D166" i="6"/>
  <c r="A166" i="6"/>
  <c r="E165" i="6"/>
  <c r="F165" i="6" s="1"/>
  <c r="D165" i="6"/>
  <c r="G165" i="6" s="1"/>
  <c r="A165" i="6"/>
  <c r="G164" i="6"/>
  <c r="E164" i="6"/>
  <c r="F164" i="6" s="1"/>
  <c r="D164" i="6"/>
  <c r="A164" i="6"/>
  <c r="E163" i="6"/>
  <c r="F163" i="6" s="1"/>
  <c r="D163" i="6"/>
  <c r="G163" i="6" s="1"/>
  <c r="A163" i="6"/>
  <c r="G162" i="6"/>
  <c r="E162" i="6"/>
  <c r="F162" i="6" s="1"/>
  <c r="D162" i="6"/>
  <c r="A162" i="6"/>
  <c r="E161" i="6"/>
  <c r="F161" i="6" s="1"/>
  <c r="D161" i="6"/>
  <c r="G161" i="6" s="1"/>
  <c r="A161" i="6"/>
  <c r="G160" i="6"/>
  <c r="E160" i="6"/>
  <c r="F160" i="6" s="1"/>
  <c r="D160" i="6"/>
  <c r="A160" i="6"/>
  <c r="E159" i="6"/>
  <c r="F159" i="6" s="1"/>
  <c r="D159" i="6"/>
  <c r="G159" i="6" s="1"/>
  <c r="A159" i="6"/>
  <c r="G158" i="6"/>
  <c r="E158" i="6"/>
  <c r="F158" i="6" s="1"/>
  <c r="D158" i="6"/>
  <c r="A158" i="6"/>
  <c r="E157" i="6"/>
  <c r="F157" i="6" s="1"/>
  <c r="D157" i="6"/>
  <c r="G157" i="6" s="1"/>
  <c r="A157" i="6"/>
  <c r="G156" i="6"/>
  <c r="E156" i="6"/>
  <c r="F156" i="6" s="1"/>
  <c r="D156" i="6"/>
  <c r="A156" i="6"/>
  <c r="E155" i="6"/>
  <c r="F155" i="6" s="1"/>
  <c r="D155" i="6"/>
  <c r="G155" i="6" s="1"/>
  <c r="A155" i="6"/>
  <c r="G154" i="6"/>
  <c r="E154" i="6"/>
  <c r="F154" i="6" s="1"/>
  <c r="D154" i="6"/>
  <c r="A154" i="6"/>
  <c r="E153" i="6"/>
  <c r="F153" i="6" s="1"/>
  <c r="D153" i="6"/>
  <c r="G153" i="6" s="1"/>
  <c r="A153" i="6"/>
  <c r="G152" i="6"/>
  <c r="E152" i="6"/>
  <c r="F152" i="6" s="1"/>
  <c r="D152" i="6"/>
  <c r="A152" i="6"/>
  <c r="E151" i="6"/>
  <c r="F151" i="6" s="1"/>
  <c r="D151" i="6"/>
  <c r="G151" i="6" s="1"/>
  <c r="A151" i="6"/>
  <c r="G150" i="6"/>
  <c r="E150" i="6"/>
  <c r="F150" i="6" s="1"/>
  <c r="D150" i="6"/>
  <c r="A150" i="6"/>
  <c r="E149" i="6"/>
  <c r="F149" i="6" s="1"/>
  <c r="D149" i="6"/>
  <c r="G149" i="6" s="1"/>
  <c r="A149" i="6"/>
  <c r="G148" i="6"/>
  <c r="E148" i="6"/>
  <c r="F148" i="6" s="1"/>
  <c r="D148" i="6"/>
  <c r="A148" i="6"/>
  <c r="E147" i="6"/>
  <c r="F147" i="6" s="1"/>
  <c r="D147" i="6"/>
  <c r="G147" i="6" s="1"/>
  <c r="A147" i="6"/>
  <c r="G146" i="6"/>
  <c r="E146" i="6"/>
  <c r="F146" i="6" s="1"/>
  <c r="D146" i="6"/>
  <c r="A146" i="6"/>
  <c r="E145" i="6"/>
  <c r="F145" i="6" s="1"/>
  <c r="D145" i="6"/>
  <c r="G145" i="6" s="1"/>
  <c r="A145" i="6"/>
  <c r="G144" i="6"/>
  <c r="E144" i="6"/>
  <c r="F144" i="6" s="1"/>
  <c r="D144" i="6"/>
  <c r="A144" i="6"/>
  <c r="E143" i="6"/>
  <c r="F143" i="6" s="1"/>
  <c r="D143" i="6"/>
  <c r="G143" i="6" s="1"/>
  <c r="A143" i="6"/>
  <c r="G142" i="6"/>
  <c r="E142" i="6"/>
  <c r="F142" i="6" s="1"/>
  <c r="D142" i="6"/>
  <c r="A142" i="6"/>
  <c r="E141" i="6"/>
  <c r="F141" i="6" s="1"/>
  <c r="D141" i="6"/>
  <c r="G141" i="6" s="1"/>
  <c r="A141" i="6"/>
  <c r="G140" i="6"/>
  <c r="E140" i="6"/>
  <c r="F140" i="6" s="1"/>
  <c r="D140" i="6"/>
  <c r="A140" i="6"/>
  <c r="E139" i="6"/>
  <c r="F139" i="6" s="1"/>
  <c r="D139" i="6"/>
  <c r="G139" i="6" s="1"/>
  <c r="A139" i="6"/>
  <c r="G138" i="6"/>
  <c r="E138" i="6"/>
  <c r="F138" i="6" s="1"/>
  <c r="D138" i="6"/>
  <c r="A138" i="6"/>
  <c r="E137" i="6"/>
  <c r="F137" i="6" s="1"/>
  <c r="D137" i="6"/>
  <c r="G137" i="6" s="1"/>
  <c r="A137" i="6"/>
  <c r="G136" i="6"/>
  <c r="E136" i="6"/>
  <c r="F136" i="6" s="1"/>
  <c r="D136" i="6"/>
  <c r="A136" i="6"/>
  <c r="E135" i="6"/>
  <c r="F135" i="6" s="1"/>
  <c r="D135" i="6"/>
  <c r="G135" i="6" s="1"/>
  <c r="A135" i="6"/>
  <c r="G134" i="6"/>
  <c r="E134" i="6"/>
  <c r="F134" i="6" s="1"/>
  <c r="D134" i="6"/>
  <c r="A134" i="6"/>
  <c r="E133" i="6"/>
  <c r="F133" i="6" s="1"/>
  <c r="D133" i="6"/>
  <c r="G133" i="6" s="1"/>
  <c r="A133" i="6"/>
  <c r="G132" i="6"/>
  <c r="E132" i="6"/>
  <c r="F132" i="6" s="1"/>
  <c r="D132" i="6"/>
  <c r="A132" i="6"/>
  <c r="E131" i="6"/>
  <c r="F131" i="6" s="1"/>
  <c r="D131" i="6"/>
  <c r="G131" i="6" s="1"/>
  <c r="A131" i="6"/>
  <c r="G130" i="6"/>
  <c r="E130" i="6"/>
  <c r="F130" i="6" s="1"/>
  <c r="D130" i="6"/>
  <c r="A130" i="6"/>
  <c r="E129" i="6"/>
  <c r="F129" i="6" s="1"/>
  <c r="D129" i="6"/>
  <c r="G129" i="6" s="1"/>
  <c r="A129" i="6"/>
  <c r="G128" i="6"/>
  <c r="E128" i="6"/>
  <c r="F128" i="6" s="1"/>
  <c r="D128" i="6"/>
  <c r="A128" i="6"/>
  <c r="E127" i="6"/>
  <c r="F127" i="6" s="1"/>
  <c r="D127" i="6"/>
  <c r="G127" i="6" s="1"/>
  <c r="A127" i="6"/>
  <c r="G126" i="6"/>
  <c r="E126" i="6"/>
  <c r="F126" i="6" s="1"/>
  <c r="D126" i="6"/>
  <c r="A126" i="6"/>
  <c r="E125" i="6"/>
  <c r="F125" i="6" s="1"/>
  <c r="D125" i="6"/>
  <c r="G125" i="6" s="1"/>
  <c r="A125" i="6"/>
  <c r="G124" i="6"/>
  <c r="E124" i="6"/>
  <c r="F124" i="6" s="1"/>
  <c r="D124" i="6"/>
  <c r="A124" i="6"/>
  <c r="E123" i="6"/>
  <c r="F123" i="6" s="1"/>
  <c r="D123" i="6"/>
  <c r="G123" i="6" s="1"/>
  <c r="A123" i="6"/>
  <c r="G122" i="6"/>
  <c r="E122" i="6"/>
  <c r="F122" i="6" s="1"/>
  <c r="D122" i="6"/>
  <c r="A122" i="6"/>
  <c r="E121" i="6"/>
  <c r="F121" i="6" s="1"/>
  <c r="D121" i="6"/>
  <c r="G121" i="6" s="1"/>
  <c r="A121" i="6"/>
  <c r="G120" i="6"/>
  <c r="E120" i="6"/>
  <c r="F120" i="6" s="1"/>
  <c r="D120" i="6"/>
  <c r="A120" i="6"/>
  <c r="E119" i="6"/>
  <c r="F119" i="6" s="1"/>
  <c r="D119" i="6"/>
  <c r="G119" i="6" s="1"/>
  <c r="A119" i="6"/>
  <c r="G118" i="6"/>
  <c r="E118" i="6"/>
  <c r="F118" i="6" s="1"/>
  <c r="D118" i="6"/>
  <c r="A118" i="6"/>
  <c r="E117" i="6"/>
  <c r="F117" i="6" s="1"/>
  <c r="D117" i="6"/>
  <c r="G117" i="6" s="1"/>
  <c r="A117" i="6"/>
  <c r="G116" i="6"/>
  <c r="E116" i="6"/>
  <c r="F116" i="6" s="1"/>
  <c r="D116" i="6"/>
  <c r="A116" i="6"/>
  <c r="E115" i="6"/>
  <c r="F115" i="6" s="1"/>
  <c r="D115" i="6"/>
  <c r="G115" i="6" s="1"/>
  <c r="A115" i="6"/>
  <c r="G114" i="6"/>
  <c r="E114" i="6"/>
  <c r="F114" i="6" s="1"/>
  <c r="D114" i="6"/>
  <c r="A114" i="6"/>
  <c r="E113" i="6"/>
  <c r="F113" i="6" s="1"/>
  <c r="D113" i="6"/>
  <c r="G113" i="6" s="1"/>
  <c r="A113" i="6"/>
  <c r="G112" i="6"/>
  <c r="E112" i="6"/>
  <c r="F112" i="6" s="1"/>
  <c r="D112" i="6"/>
  <c r="A112" i="6"/>
  <c r="E111" i="6"/>
  <c r="F111" i="6" s="1"/>
  <c r="D111" i="6"/>
  <c r="G111" i="6" s="1"/>
  <c r="A111" i="6"/>
  <c r="G110" i="6"/>
  <c r="E110" i="6"/>
  <c r="F110" i="6" s="1"/>
  <c r="D110" i="6"/>
  <c r="A110" i="6"/>
  <c r="E109" i="6"/>
  <c r="F109" i="6" s="1"/>
  <c r="D109" i="6"/>
  <c r="G109" i="6" s="1"/>
  <c r="A109" i="6"/>
  <c r="G108" i="6"/>
  <c r="E108" i="6"/>
  <c r="F108" i="6" s="1"/>
  <c r="D108" i="6"/>
  <c r="A108" i="6"/>
  <c r="E107" i="6"/>
  <c r="F107" i="6" s="1"/>
  <c r="D107" i="6"/>
  <c r="G107" i="6" s="1"/>
  <c r="A107" i="6"/>
  <c r="G106" i="6"/>
  <c r="E106" i="6"/>
  <c r="F106" i="6" s="1"/>
  <c r="D106" i="6"/>
  <c r="A106" i="6"/>
  <c r="E105" i="6"/>
  <c r="F105" i="6" s="1"/>
  <c r="D105" i="6"/>
  <c r="G105" i="6" s="1"/>
  <c r="A105" i="6"/>
  <c r="G104" i="6"/>
  <c r="E104" i="6"/>
  <c r="F104" i="6" s="1"/>
  <c r="D104" i="6"/>
  <c r="A104" i="6"/>
  <c r="E103" i="6"/>
  <c r="F103" i="6" s="1"/>
  <c r="D103" i="6"/>
  <c r="G103" i="6" s="1"/>
  <c r="A103" i="6"/>
  <c r="G102" i="6"/>
  <c r="E102" i="6"/>
  <c r="F102" i="6" s="1"/>
  <c r="D102" i="6"/>
  <c r="A102" i="6"/>
  <c r="E101" i="6"/>
  <c r="F101" i="6" s="1"/>
  <c r="D101" i="6"/>
  <c r="G101" i="6" s="1"/>
  <c r="A101" i="6"/>
  <c r="G100" i="6"/>
  <c r="E100" i="6"/>
  <c r="F100" i="6" s="1"/>
  <c r="D100" i="6"/>
  <c r="A100" i="6"/>
  <c r="E99" i="6"/>
  <c r="F99" i="6" s="1"/>
  <c r="D99" i="6"/>
  <c r="G99" i="6" s="1"/>
  <c r="A99" i="6"/>
  <c r="G98" i="6"/>
  <c r="E98" i="6"/>
  <c r="F98" i="6" s="1"/>
  <c r="D98" i="6"/>
  <c r="A98" i="6"/>
  <c r="E97" i="6"/>
  <c r="F97" i="6" s="1"/>
  <c r="D97" i="6"/>
  <c r="G97" i="6" s="1"/>
  <c r="A97" i="6"/>
  <c r="G96" i="6"/>
  <c r="E96" i="6"/>
  <c r="F96" i="6" s="1"/>
  <c r="D96" i="6"/>
  <c r="A96" i="6"/>
  <c r="E95" i="6"/>
  <c r="F95" i="6" s="1"/>
  <c r="D95" i="6"/>
  <c r="G95" i="6" s="1"/>
  <c r="A95" i="6"/>
  <c r="G94" i="6"/>
  <c r="E94" i="6"/>
  <c r="F94" i="6" s="1"/>
  <c r="D94" i="6"/>
  <c r="A94" i="6"/>
  <c r="E93" i="6"/>
  <c r="F93" i="6" s="1"/>
  <c r="D93" i="6"/>
  <c r="G93" i="6" s="1"/>
  <c r="A93" i="6"/>
  <c r="G92" i="6"/>
  <c r="E92" i="6"/>
  <c r="F92" i="6" s="1"/>
  <c r="D92" i="6"/>
  <c r="A92" i="6"/>
  <c r="E91" i="6"/>
  <c r="F91" i="6" s="1"/>
  <c r="D91" i="6"/>
  <c r="G91" i="6" s="1"/>
  <c r="A91" i="6"/>
  <c r="G90" i="6"/>
  <c r="E90" i="6"/>
  <c r="F90" i="6" s="1"/>
  <c r="D90" i="6"/>
  <c r="A90" i="6"/>
  <c r="E89" i="6"/>
  <c r="D89" i="6"/>
  <c r="G89" i="6" s="1"/>
  <c r="F89" i="6" s="1"/>
  <c r="A89" i="6"/>
  <c r="E88" i="6"/>
  <c r="D88" i="6"/>
  <c r="G88" i="6" s="1"/>
  <c r="A88" i="6"/>
  <c r="F87" i="6"/>
  <c r="E87" i="6"/>
  <c r="D87" i="6"/>
  <c r="G87" i="6" s="1"/>
  <c r="A87" i="6"/>
  <c r="E86" i="6"/>
  <c r="D86" i="6"/>
  <c r="G86" i="6" s="1"/>
  <c r="A86" i="6"/>
  <c r="E85" i="6"/>
  <c r="D85" i="6"/>
  <c r="G85" i="6" s="1"/>
  <c r="A85" i="6"/>
  <c r="E84" i="6"/>
  <c r="F84" i="6" s="1"/>
  <c r="D84" i="6"/>
  <c r="G84" i="6" s="1"/>
  <c r="A84" i="6"/>
  <c r="E83" i="6"/>
  <c r="D83" i="6"/>
  <c r="G83" i="6" s="1"/>
  <c r="F83" i="6" s="1"/>
  <c r="A83" i="6"/>
  <c r="E82" i="6"/>
  <c r="D82" i="6"/>
  <c r="G82" i="6" s="1"/>
  <c r="A82" i="6"/>
  <c r="F81" i="6"/>
  <c r="E81" i="6"/>
  <c r="D81" i="6"/>
  <c r="G81" i="6" s="1"/>
  <c r="A81" i="6"/>
  <c r="E80" i="6"/>
  <c r="F80" i="6" s="1"/>
  <c r="D80" i="6"/>
  <c r="G80" i="6" s="1"/>
  <c r="A80" i="6"/>
  <c r="E79" i="6"/>
  <c r="D79" i="6"/>
  <c r="G79" i="6" s="1"/>
  <c r="A79" i="6"/>
  <c r="G78" i="6"/>
  <c r="E78" i="6"/>
  <c r="F78" i="6" s="1"/>
  <c r="D78" i="6"/>
  <c r="A78" i="6"/>
  <c r="E77" i="6"/>
  <c r="D77" i="6"/>
  <c r="G77" i="6" s="1"/>
  <c r="F77" i="6" s="1"/>
  <c r="A77" i="6"/>
  <c r="G76" i="6"/>
  <c r="E76" i="6"/>
  <c r="D76" i="6"/>
  <c r="A76" i="6"/>
  <c r="E75" i="6"/>
  <c r="D75" i="6"/>
  <c r="G75" i="6" s="1"/>
  <c r="A75" i="6"/>
  <c r="E74" i="6"/>
  <c r="F74" i="6" s="1"/>
  <c r="D74" i="6"/>
  <c r="G74" i="6" s="1"/>
  <c r="A74" i="6"/>
  <c r="E73" i="6"/>
  <c r="D73" i="6"/>
  <c r="G73" i="6" s="1"/>
  <c r="F73" i="6" s="1"/>
  <c r="A73" i="6"/>
  <c r="E72" i="6"/>
  <c r="D72" i="6"/>
  <c r="G72" i="6" s="1"/>
  <c r="A72" i="6"/>
  <c r="E71" i="6"/>
  <c r="D71" i="6"/>
  <c r="G71" i="6" s="1"/>
  <c r="A71" i="6"/>
  <c r="G70" i="6"/>
  <c r="E70" i="6"/>
  <c r="F70" i="6" s="1"/>
  <c r="D70" i="6"/>
  <c r="A70" i="6"/>
  <c r="E69" i="6"/>
  <c r="D69" i="6"/>
  <c r="G69" i="6" s="1"/>
  <c r="F69" i="6" s="1"/>
  <c r="A69" i="6"/>
  <c r="G68" i="6"/>
  <c r="E68" i="6"/>
  <c r="D68" i="6"/>
  <c r="A68" i="6"/>
  <c r="F67" i="6"/>
  <c r="E67" i="6"/>
  <c r="D67" i="6"/>
  <c r="G67" i="6" s="1"/>
  <c r="A67" i="6"/>
  <c r="G66" i="6"/>
  <c r="E66" i="6"/>
  <c r="D66" i="6"/>
  <c r="A66" i="6"/>
  <c r="G65" i="6"/>
  <c r="E65" i="6"/>
  <c r="F65" i="6" s="1"/>
  <c r="D65" i="6"/>
  <c r="A65" i="6"/>
  <c r="F64" i="6"/>
  <c r="E64" i="6"/>
  <c r="D64" i="6"/>
  <c r="G64" i="6" s="1"/>
  <c r="A64" i="6"/>
  <c r="G63" i="6"/>
  <c r="E63" i="6"/>
  <c r="D63" i="6"/>
  <c r="A63" i="6"/>
  <c r="E62" i="6"/>
  <c r="D62" i="6"/>
  <c r="G62" i="6" s="1"/>
  <c r="A62" i="6"/>
  <c r="G61" i="6"/>
  <c r="E61" i="6"/>
  <c r="F61" i="6" s="1"/>
  <c r="D61" i="6"/>
  <c r="A61" i="6"/>
  <c r="E60" i="6"/>
  <c r="D60" i="6"/>
  <c r="G60" i="6" s="1"/>
  <c r="F60" i="6" s="1"/>
  <c r="A60" i="6"/>
  <c r="E59" i="6"/>
  <c r="D59" i="6"/>
  <c r="G59" i="6" s="1"/>
  <c r="A59" i="6"/>
  <c r="E58" i="6"/>
  <c r="D58" i="6"/>
  <c r="G58" i="6" s="1"/>
  <c r="A58" i="6"/>
  <c r="G57" i="6"/>
  <c r="E57" i="6"/>
  <c r="F57" i="6" s="1"/>
  <c r="D57" i="6"/>
  <c r="A57" i="6"/>
  <c r="E56" i="6"/>
  <c r="D56" i="6"/>
  <c r="G56" i="6" s="1"/>
  <c r="F56" i="6" s="1"/>
  <c r="A56" i="6"/>
  <c r="E55" i="6"/>
  <c r="D55" i="6"/>
  <c r="G55" i="6" s="1"/>
  <c r="A55" i="6"/>
  <c r="E54" i="6"/>
  <c r="D54" i="6"/>
  <c r="G54" i="6" s="1"/>
  <c r="A54" i="6"/>
  <c r="G53" i="6"/>
  <c r="E53" i="6"/>
  <c r="F53" i="6" s="1"/>
  <c r="D53" i="6"/>
  <c r="A53" i="6"/>
  <c r="F52" i="6"/>
  <c r="E52" i="6"/>
  <c r="D52" i="6"/>
  <c r="G52" i="6" s="1"/>
  <c r="A52" i="6"/>
  <c r="G51" i="6"/>
  <c r="E51" i="6"/>
  <c r="F51" i="6" s="1"/>
  <c r="D51" i="6"/>
  <c r="A51" i="6"/>
  <c r="E50" i="6"/>
  <c r="F50" i="6" s="1"/>
  <c r="D50" i="6"/>
  <c r="G50" i="6" s="1"/>
  <c r="A50" i="6"/>
  <c r="G49" i="6"/>
  <c r="E49" i="6"/>
  <c r="F49" i="6" s="1"/>
  <c r="D49" i="6"/>
  <c r="A49" i="6"/>
  <c r="F48" i="6"/>
  <c r="E48" i="6"/>
  <c r="D48" i="6"/>
  <c r="G48" i="6" s="1"/>
  <c r="A48" i="6"/>
  <c r="G47" i="6"/>
  <c r="E47" i="6"/>
  <c r="D47" i="6"/>
  <c r="A47" i="6"/>
  <c r="E46" i="6"/>
  <c r="F46" i="6" s="1"/>
  <c r="D46" i="6"/>
  <c r="G46" i="6" s="1"/>
  <c r="A46" i="6"/>
  <c r="G45" i="6"/>
  <c r="E45" i="6"/>
  <c r="F45" i="6" s="1"/>
  <c r="D45" i="6"/>
  <c r="A45" i="6"/>
  <c r="G44" i="6"/>
  <c r="F44" i="6"/>
  <c r="E44" i="6"/>
  <c r="D44" i="6"/>
  <c r="A44" i="6"/>
  <c r="G43" i="6"/>
  <c r="E43" i="6"/>
  <c r="D43" i="6"/>
  <c r="A43" i="6"/>
  <c r="E42" i="6"/>
  <c r="D42" i="6"/>
  <c r="G42" i="6" s="1"/>
  <c r="A42" i="6"/>
  <c r="G41" i="6"/>
  <c r="E41" i="6"/>
  <c r="F41" i="6" s="1"/>
  <c r="D41" i="6"/>
  <c r="A41" i="6"/>
  <c r="G40" i="6"/>
  <c r="F40" i="6"/>
  <c r="E40" i="6"/>
  <c r="D40" i="6"/>
  <c r="A40" i="6"/>
  <c r="G39" i="6"/>
  <c r="E39" i="6"/>
  <c r="F39" i="6" s="1"/>
  <c r="D39" i="6"/>
  <c r="A39" i="6"/>
  <c r="E38" i="6"/>
  <c r="D38" i="6"/>
  <c r="G38" i="6" s="1"/>
  <c r="A38" i="6"/>
  <c r="G37" i="6"/>
  <c r="E37" i="6"/>
  <c r="F37" i="6" s="1"/>
  <c r="D37" i="6"/>
  <c r="A37" i="6"/>
  <c r="G36" i="6"/>
  <c r="F36" i="6"/>
  <c r="E36" i="6"/>
  <c r="D36" i="6"/>
  <c r="A36" i="6"/>
  <c r="G35" i="6"/>
  <c r="E35" i="6"/>
  <c r="D35" i="6"/>
  <c r="A35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V33" i="6"/>
  <c r="T33" i="6"/>
  <c r="R33" i="6"/>
  <c r="P33" i="6"/>
  <c r="N33" i="6"/>
  <c r="L33" i="6"/>
  <c r="J33" i="6"/>
  <c r="H33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D23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V21" i="6"/>
  <c r="T21" i="6"/>
  <c r="R21" i="6"/>
  <c r="P21" i="6"/>
  <c r="N21" i="6"/>
  <c r="L21" i="6"/>
  <c r="J21" i="6"/>
  <c r="H21" i="6"/>
  <c r="D21" i="6"/>
  <c r="V20" i="6"/>
  <c r="T20" i="6"/>
  <c r="R20" i="6"/>
  <c r="P20" i="6"/>
  <c r="N20" i="6"/>
  <c r="L20" i="6"/>
  <c r="J20" i="6"/>
  <c r="H20" i="6"/>
  <c r="V19" i="6"/>
  <c r="T19" i="6"/>
  <c r="R19" i="6"/>
  <c r="P19" i="6"/>
  <c r="N19" i="6"/>
  <c r="L19" i="6"/>
  <c r="J19" i="6"/>
  <c r="H19" i="6"/>
  <c r="V18" i="6"/>
  <c r="T18" i="6"/>
  <c r="R18" i="6"/>
  <c r="P18" i="6"/>
  <c r="N18" i="6"/>
  <c r="L18" i="6"/>
  <c r="J18" i="6"/>
  <c r="H18" i="6"/>
  <c r="V17" i="6"/>
  <c r="T17" i="6"/>
  <c r="R17" i="6"/>
  <c r="P17" i="6"/>
  <c r="N17" i="6"/>
  <c r="L17" i="6"/>
  <c r="J17" i="6"/>
  <c r="H17" i="6"/>
  <c r="H15" i="6" s="1"/>
  <c r="H27" i="6" s="1"/>
  <c r="D17" i="6"/>
  <c r="V16" i="6"/>
  <c r="V15" i="6" s="1"/>
  <c r="V27" i="6" s="1"/>
  <c r="T16" i="6"/>
  <c r="R16" i="6"/>
  <c r="P16" i="6"/>
  <c r="N16" i="6"/>
  <c r="N15" i="6" s="1"/>
  <c r="N27" i="6" s="1"/>
  <c r="L16" i="6"/>
  <c r="J16" i="6"/>
  <c r="H16" i="6"/>
  <c r="D16" i="6"/>
  <c r="D15" i="6" s="1"/>
  <c r="D27" i="6" s="1"/>
  <c r="P15" i="6"/>
  <c r="P27" i="6" s="1"/>
  <c r="V14" i="6"/>
  <c r="T14" i="6"/>
  <c r="R14" i="6"/>
  <c r="P14" i="6"/>
  <c r="N14" i="6"/>
  <c r="L14" i="6"/>
  <c r="J14" i="6"/>
  <c r="H14" i="6"/>
  <c r="A13" i="6"/>
  <c r="A12" i="6"/>
  <c r="A11" i="6"/>
  <c r="A10" i="6"/>
  <c r="A9" i="6"/>
  <c r="A8" i="6"/>
  <c r="A7" i="6"/>
  <c r="A6" i="6"/>
  <c r="D25" i="6" l="1"/>
  <c r="L15" i="6"/>
  <c r="L27" i="6" s="1"/>
  <c r="T15" i="6"/>
  <c r="T27" i="6" s="1"/>
  <c r="J15" i="6"/>
  <c r="J27" i="6" s="1"/>
  <c r="R15" i="6"/>
  <c r="R27" i="6" s="1"/>
  <c r="F66" i="6"/>
  <c r="F68" i="6"/>
  <c r="F75" i="6"/>
  <c r="F76" i="6"/>
  <c r="F85" i="6"/>
  <c r="F86" i="6"/>
  <c r="F88" i="6"/>
  <c r="F35" i="6"/>
  <c r="F43" i="6"/>
  <c r="F47" i="6"/>
  <c r="F55" i="6"/>
  <c r="F59" i="6"/>
  <c r="F63" i="6"/>
  <c r="F71" i="6"/>
  <c r="F72" i="6"/>
  <c r="F79" i="6"/>
  <c r="F82" i="6"/>
  <c r="D19" i="7"/>
  <c r="D18" i="7"/>
  <c r="D20" i="7"/>
  <c r="F38" i="6"/>
  <c r="F42" i="6"/>
  <c r="F54" i="6"/>
  <c r="F58" i="6"/>
  <c r="F62" i="6"/>
  <c r="D22" i="6"/>
  <c r="D19" i="6" l="1"/>
  <c r="D20" i="6"/>
  <c r="D18" i="6"/>
  <c r="H20" i="5" l="1"/>
  <c r="J20" i="5"/>
  <c r="T22" i="5"/>
  <c r="T21" i="5"/>
  <c r="T20" i="5"/>
  <c r="Y23" i="5"/>
  <c r="Y22" i="5"/>
  <c r="Y21" i="5"/>
  <c r="X23" i="5"/>
  <c r="X22" i="5"/>
  <c r="X21" i="5"/>
  <c r="Y20" i="5" l="1"/>
  <c r="H21" i="5"/>
  <c r="X20" i="5"/>
  <c r="T24" i="5"/>
  <c r="Y19" i="5"/>
  <c r="X19" i="5"/>
  <c r="Y18" i="5"/>
  <c r="X18" i="5"/>
  <c r="Y16" i="5"/>
  <c r="X16" i="5"/>
  <c r="X17" i="5" l="1"/>
  <c r="Y17" i="5"/>
  <c r="Y29" i="5" s="1"/>
  <c r="D92" i="5" l="1"/>
  <c r="D93" i="5"/>
  <c r="D94" i="5"/>
  <c r="D96" i="5"/>
  <c r="D97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5" i="5"/>
  <c r="D35" i="5"/>
  <c r="Y33" i="5"/>
  <c r="X33" i="5"/>
  <c r="V33" i="5"/>
  <c r="Y27" i="5"/>
  <c r="X27" i="5"/>
  <c r="Y26" i="5"/>
  <c r="X26" i="5"/>
  <c r="Y25" i="5"/>
  <c r="X25" i="5"/>
  <c r="Y24" i="5"/>
  <c r="X24" i="5"/>
  <c r="X29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E234" i="5" l="1"/>
  <c r="F234" i="5" s="1"/>
  <c r="D234" i="5"/>
  <c r="G234" i="5" s="1"/>
  <c r="A234" i="5"/>
  <c r="E233" i="5"/>
  <c r="F233" i="5" s="1"/>
  <c r="D233" i="5"/>
  <c r="G233" i="5" s="1"/>
  <c r="A233" i="5"/>
  <c r="E232" i="5"/>
  <c r="F232" i="5" s="1"/>
  <c r="D232" i="5"/>
  <c r="G232" i="5" s="1"/>
  <c r="A232" i="5"/>
  <c r="E231" i="5"/>
  <c r="F231" i="5" s="1"/>
  <c r="D231" i="5"/>
  <c r="G231" i="5" s="1"/>
  <c r="A231" i="5"/>
  <c r="E230" i="5"/>
  <c r="F230" i="5" s="1"/>
  <c r="D230" i="5"/>
  <c r="G230" i="5" s="1"/>
  <c r="A230" i="5"/>
  <c r="E229" i="5"/>
  <c r="F229" i="5" s="1"/>
  <c r="D229" i="5"/>
  <c r="G229" i="5" s="1"/>
  <c r="A229" i="5"/>
  <c r="E228" i="5"/>
  <c r="F228" i="5" s="1"/>
  <c r="D228" i="5"/>
  <c r="G228" i="5" s="1"/>
  <c r="A228" i="5"/>
  <c r="E227" i="5"/>
  <c r="F227" i="5" s="1"/>
  <c r="D227" i="5"/>
  <c r="G227" i="5" s="1"/>
  <c r="A227" i="5"/>
  <c r="E226" i="5"/>
  <c r="F226" i="5" s="1"/>
  <c r="D226" i="5"/>
  <c r="G226" i="5" s="1"/>
  <c r="A226" i="5"/>
  <c r="E225" i="5"/>
  <c r="F225" i="5" s="1"/>
  <c r="D225" i="5"/>
  <c r="G225" i="5" s="1"/>
  <c r="A225" i="5"/>
  <c r="E224" i="5"/>
  <c r="F224" i="5" s="1"/>
  <c r="D224" i="5"/>
  <c r="G224" i="5" s="1"/>
  <c r="A224" i="5"/>
  <c r="E223" i="5"/>
  <c r="F223" i="5" s="1"/>
  <c r="D223" i="5"/>
  <c r="G223" i="5" s="1"/>
  <c r="A223" i="5"/>
  <c r="E222" i="5"/>
  <c r="F222" i="5" s="1"/>
  <c r="D222" i="5"/>
  <c r="G222" i="5" s="1"/>
  <c r="A222" i="5"/>
  <c r="E221" i="5"/>
  <c r="F221" i="5" s="1"/>
  <c r="D221" i="5"/>
  <c r="G221" i="5" s="1"/>
  <c r="A221" i="5"/>
  <c r="E220" i="5"/>
  <c r="F220" i="5" s="1"/>
  <c r="D220" i="5"/>
  <c r="G220" i="5" s="1"/>
  <c r="A220" i="5"/>
  <c r="E219" i="5"/>
  <c r="F219" i="5" s="1"/>
  <c r="D219" i="5"/>
  <c r="G219" i="5" s="1"/>
  <c r="A219" i="5"/>
  <c r="E218" i="5"/>
  <c r="F218" i="5" s="1"/>
  <c r="D218" i="5"/>
  <c r="G218" i="5" s="1"/>
  <c r="A218" i="5"/>
  <c r="E217" i="5"/>
  <c r="F217" i="5" s="1"/>
  <c r="D217" i="5"/>
  <c r="G217" i="5" s="1"/>
  <c r="A217" i="5"/>
  <c r="E216" i="5"/>
  <c r="F216" i="5" s="1"/>
  <c r="D216" i="5"/>
  <c r="G216" i="5" s="1"/>
  <c r="A216" i="5"/>
  <c r="E215" i="5"/>
  <c r="F215" i="5" s="1"/>
  <c r="D215" i="5"/>
  <c r="G215" i="5" s="1"/>
  <c r="A215" i="5"/>
  <c r="E214" i="5"/>
  <c r="F214" i="5" s="1"/>
  <c r="D214" i="5"/>
  <c r="G214" i="5" s="1"/>
  <c r="A214" i="5"/>
  <c r="E213" i="5"/>
  <c r="F213" i="5" s="1"/>
  <c r="D213" i="5"/>
  <c r="G213" i="5" s="1"/>
  <c r="A213" i="5"/>
  <c r="E212" i="5"/>
  <c r="F212" i="5" s="1"/>
  <c r="D212" i="5"/>
  <c r="G212" i="5" s="1"/>
  <c r="A212" i="5"/>
  <c r="E211" i="5"/>
  <c r="F211" i="5" s="1"/>
  <c r="D211" i="5"/>
  <c r="G211" i="5" s="1"/>
  <c r="A211" i="5"/>
  <c r="E210" i="5"/>
  <c r="F210" i="5" s="1"/>
  <c r="D210" i="5"/>
  <c r="G210" i="5" s="1"/>
  <c r="A210" i="5"/>
  <c r="E209" i="5"/>
  <c r="F209" i="5" s="1"/>
  <c r="D209" i="5"/>
  <c r="G209" i="5" s="1"/>
  <c r="A209" i="5"/>
  <c r="E208" i="5"/>
  <c r="F208" i="5" s="1"/>
  <c r="D208" i="5"/>
  <c r="G208" i="5" s="1"/>
  <c r="A208" i="5"/>
  <c r="E207" i="5"/>
  <c r="F207" i="5" s="1"/>
  <c r="D207" i="5"/>
  <c r="G207" i="5" s="1"/>
  <c r="A207" i="5"/>
  <c r="E206" i="5"/>
  <c r="F206" i="5" s="1"/>
  <c r="D206" i="5"/>
  <c r="G206" i="5" s="1"/>
  <c r="A206" i="5"/>
  <c r="E205" i="5"/>
  <c r="F205" i="5" s="1"/>
  <c r="D205" i="5"/>
  <c r="G205" i="5" s="1"/>
  <c r="A205" i="5"/>
  <c r="E204" i="5"/>
  <c r="F204" i="5" s="1"/>
  <c r="D204" i="5"/>
  <c r="G204" i="5" s="1"/>
  <c r="A204" i="5"/>
  <c r="E203" i="5"/>
  <c r="F203" i="5" s="1"/>
  <c r="D203" i="5"/>
  <c r="G203" i="5" s="1"/>
  <c r="A203" i="5"/>
  <c r="E202" i="5"/>
  <c r="F202" i="5" s="1"/>
  <c r="D202" i="5"/>
  <c r="G202" i="5" s="1"/>
  <c r="A202" i="5"/>
  <c r="E201" i="5"/>
  <c r="F201" i="5" s="1"/>
  <c r="D201" i="5"/>
  <c r="G201" i="5" s="1"/>
  <c r="A201" i="5"/>
  <c r="E200" i="5"/>
  <c r="F200" i="5" s="1"/>
  <c r="D200" i="5"/>
  <c r="G200" i="5" s="1"/>
  <c r="A200" i="5"/>
  <c r="E199" i="5"/>
  <c r="F199" i="5" s="1"/>
  <c r="D199" i="5"/>
  <c r="G199" i="5" s="1"/>
  <c r="A199" i="5"/>
  <c r="E198" i="5"/>
  <c r="F198" i="5" s="1"/>
  <c r="D198" i="5"/>
  <c r="G198" i="5" s="1"/>
  <c r="A198" i="5"/>
  <c r="E197" i="5"/>
  <c r="F197" i="5" s="1"/>
  <c r="D197" i="5"/>
  <c r="G197" i="5" s="1"/>
  <c r="A197" i="5"/>
  <c r="E196" i="5"/>
  <c r="F196" i="5" s="1"/>
  <c r="D196" i="5"/>
  <c r="G196" i="5" s="1"/>
  <c r="A196" i="5"/>
  <c r="E195" i="5"/>
  <c r="F195" i="5" s="1"/>
  <c r="D195" i="5"/>
  <c r="G195" i="5" s="1"/>
  <c r="A195" i="5"/>
  <c r="E194" i="5"/>
  <c r="F194" i="5" s="1"/>
  <c r="D194" i="5"/>
  <c r="G194" i="5" s="1"/>
  <c r="A194" i="5"/>
  <c r="E193" i="5"/>
  <c r="F193" i="5" s="1"/>
  <c r="D193" i="5"/>
  <c r="G193" i="5" s="1"/>
  <c r="A193" i="5"/>
  <c r="E192" i="5"/>
  <c r="F192" i="5" s="1"/>
  <c r="D192" i="5"/>
  <c r="G192" i="5" s="1"/>
  <c r="A192" i="5"/>
  <c r="E191" i="5"/>
  <c r="F191" i="5" s="1"/>
  <c r="D191" i="5"/>
  <c r="G191" i="5" s="1"/>
  <c r="A191" i="5"/>
  <c r="E190" i="5"/>
  <c r="F190" i="5" s="1"/>
  <c r="D190" i="5"/>
  <c r="G190" i="5" s="1"/>
  <c r="A190" i="5"/>
  <c r="E189" i="5"/>
  <c r="F189" i="5" s="1"/>
  <c r="D189" i="5"/>
  <c r="G189" i="5" s="1"/>
  <c r="A189" i="5"/>
  <c r="E188" i="5"/>
  <c r="F188" i="5" s="1"/>
  <c r="D188" i="5"/>
  <c r="G188" i="5" s="1"/>
  <c r="A188" i="5"/>
  <c r="E187" i="5"/>
  <c r="F187" i="5" s="1"/>
  <c r="D187" i="5"/>
  <c r="G187" i="5" s="1"/>
  <c r="A187" i="5"/>
  <c r="E186" i="5"/>
  <c r="F186" i="5" s="1"/>
  <c r="D186" i="5"/>
  <c r="G186" i="5" s="1"/>
  <c r="A186" i="5"/>
  <c r="E185" i="5"/>
  <c r="F185" i="5" s="1"/>
  <c r="D185" i="5"/>
  <c r="G185" i="5" s="1"/>
  <c r="A185" i="5"/>
  <c r="E184" i="5"/>
  <c r="F184" i="5" s="1"/>
  <c r="D184" i="5"/>
  <c r="G184" i="5" s="1"/>
  <c r="A184" i="5"/>
  <c r="E183" i="5"/>
  <c r="F183" i="5" s="1"/>
  <c r="D183" i="5"/>
  <c r="G183" i="5" s="1"/>
  <c r="A183" i="5"/>
  <c r="E182" i="5"/>
  <c r="F182" i="5" s="1"/>
  <c r="D182" i="5"/>
  <c r="G182" i="5" s="1"/>
  <c r="A182" i="5"/>
  <c r="E181" i="5"/>
  <c r="F181" i="5" s="1"/>
  <c r="D181" i="5"/>
  <c r="G181" i="5" s="1"/>
  <c r="A181" i="5"/>
  <c r="E180" i="5"/>
  <c r="F180" i="5" s="1"/>
  <c r="D180" i="5"/>
  <c r="G180" i="5" s="1"/>
  <c r="A180" i="5"/>
  <c r="E179" i="5"/>
  <c r="F179" i="5" s="1"/>
  <c r="D179" i="5"/>
  <c r="G179" i="5" s="1"/>
  <c r="A179" i="5"/>
  <c r="E178" i="5"/>
  <c r="F178" i="5" s="1"/>
  <c r="D178" i="5"/>
  <c r="G178" i="5" s="1"/>
  <c r="A178" i="5"/>
  <c r="E177" i="5"/>
  <c r="F177" i="5" s="1"/>
  <c r="D177" i="5"/>
  <c r="G177" i="5" s="1"/>
  <c r="A177" i="5"/>
  <c r="E176" i="5"/>
  <c r="F176" i="5" s="1"/>
  <c r="D176" i="5"/>
  <c r="G176" i="5" s="1"/>
  <c r="A176" i="5"/>
  <c r="E175" i="5"/>
  <c r="F175" i="5" s="1"/>
  <c r="D175" i="5"/>
  <c r="G175" i="5" s="1"/>
  <c r="A175" i="5"/>
  <c r="E174" i="5"/>
  <c r="F174" i="5" s="1"/>
  <c r="D174" i="5"/>
  <c r="G174" i="5" s="1"/>
  <c r="A174" i="5"/>
  <c r="E173" i="5"/>
  <c r="F173" i="5" s="1"/>
  <c r="D173" i="5"/>
  <c r="G173" i="5" s="1"/>
  <c r="A173" i="5"/>
  <c r="E172" i="5"/>
  <c r="F172" i="5" s="1"/>
  <c r="D172" i="5"/>
  <c r="G172" i="5" s="1"/>
  <c r="A172" i="5"/>
  <c r="E171" i="5"/>
  <c r="F171" i="5" s="1"/>
  <c r="D171" i="5"/>
  <c r="G171" i="5" s="1"/>
  <c r="A171" i="5"/>
  <c r="E170" i="5"/>
  <c r="F170" i="5" s="1"/>
  <c r="D170" i="5"/>
  <c r="G170" i="5" s="1"/>
  <c r="A170" i="5"/>
  <c r="E169" i="5"/>
  <c r="F169" i="5" s="1"/>
  <c r="D169" i="5"/>
  <c r="G169" i="5" s="1"/>
  <c r="A169" i="5"/>
  <c r="E168" i="5"/>
  <c r="F168" i="5" s="1"/>
  <c r="D168" i="5"/>
  <c r="G168" i="5" s="1"/>
  <c r="A168" i="5"/>
  <c r="E167" i="5"/>
  <c r="F167" i="5" s="1"/>
  <c r="D167" i="5"/>
  <c r="G167" i="5" s="1"/>
  <c r="A167" i="5"/>
  <c r="E166" i="5"/>
  <c r="F166" i="5" s="1"/>
  <c r="D166" i="5"/>
  <c r="G166" i="5" s="1"/>
  <c r="A166" i="5"/>
  <c r="E165" i="5"/>
  <c r="F165" i="5" s="1"/>
  <c r="D165" i="5"/>
  <c r="G165" i="5" s="1"/>
  <c r="A165" i="5"/>
  <c r="E164" i="5"/>
  <c r="F164" i="5" s="1"/>
  <c r="D164" i="5"/>
  <c r="G164" i="5" s="1"/>
  <c r="A164" i="5"/>
  <c r="E163" i="5"/>
  <c r="F163" i="5" s="1"/>
  <c r="D163" i="5"/>
  <c r="G163" i="5" s="1"/>
  <c r="A163" i="5"/>
  <c r="E162" i="5"/>
  <c r="F162" i="5" s="1"/>
  <c r="D162" i="5"/>
  <c r="G162" i="5" s="1"/>
  <c r="A162" i="5"/>
  <c r="E161" i="5"/>
  <c r="F161" i="5" s="1"/>
  <c r="D161" i="5"/>
  <c r="G161" i="5" s="1"/>
  <c r="A161" i="5"/>
  <c r="E160" i="5"/>
  <c r="F160" i="5" s="1"/>
  <c r="D160" i="5"/>
  <c r="G160" i="5" s="1"/>
  <c r="A160" i="5"/>
  <c r="E159" i="5"/>
  <c r="F159" i="5" s="1"/>
  <c r="D159" i="5"/>
  <c r="G159" i="5" s="1"/>
  <c r="A159" i="5"/>
  <c r="E158" i="5"/>
  <c r="F158" i="5" s="1"/>
  <c r="D158" i="5"/>
  <c r="G158" i="5" s="1"/>
  <c r="A158" i="5"/>
  <c r="E157" i="5"/>
  <c r="F157" i="5" s="1"/>
  <c r="D157" i="5"/>
  <c r="G157" i="5" s="1"/>
  <c r="A157" i="5"/>
  <c r="E156" i="5"/>
  <c r="F156" i="5" s="1"/>
  <c r="D156" i="5"/>
  <c r="G156" i="5" s="1"/>
  <c r="A156" i="5"/>
  <c r="E155" i="5"/>
  <c r="F155" i="5" s="1"/>
  <c r="D155" i="5"/>
  <c r="G155" i="5" s="1"/>
  <c r="A155" i="5"/>
  <c r="E154" i="5"/>
  <c r="F154" i="5" s="1"/>
  <c r="D154" i="5"/>
  <c r="G154" i="5" s="1"/>
  <c r="A154" i="5"/>
  <c r="E153" i="5"/>
  <c r="F153" i="5" s="1"/>
  <c r="D153" i="5"/>
  <c r="G153" i="5" s="1"/>
  <c r="A153" i="5"/>
  <c r="E152" i="5"/>
  <c r="F152" i="5" s="1"/>
  <c r="D152" i="5"/>
  <c r="G152" i="5" s="1"/>
  <c r="A152" i="5"/>
  <c r="E151" i="5"/>
  <c r="F151" i="5" s="1"/>
  <c r="D151" i="5"/>
  <c r="G151" i="5" s="1"/>
  <c r="A151" i="5"/>
  <c r="E150" i="5"/>
  <c r="F150" i="5" s="1"/>
  <c r="D150" i="5"/>
  <c r="G150" i="5" s="1"/>
  <c r="A150" i="5"/>
  <c r="E149" i="5"/>
  <c r="F149" i="5" s="1"/>
  <c r="D149" i="5"/>
  <c r="G149" i="5" s="1"/>
  <c r="A149" i="5"/>
  <c r="E148" i="5"/>
  <c r="F148" i="5" s="1"/>
  <c r="D148" i="5"/>
  <c r="G148" i="5" s="1"/>
  <c r="A148" i="5"/>
  <c r="E147" i="5"/>
  <c r="F147" i="5" s="1"/>
  <c r="D147" i="5"/>
  <c r="G147" i="5" s="1"/>
  <c r="A147" i="5"/>
  <c r="E146" i="5"/>
  <c r="F146" i="5" s="1"/>
  <c r="D146" i="5"/>
  <c r="G146" i="5" s="1"/>
  <c r="A146" i="5"/>
  <c r="E145" i="5"/>
  <c r="F145" i="5" s="1"/>
  <c r="D145" i="5"/>
  <c r="G145" i="5" s="1"/>
  <c r="A145" i="5"/>
  <c r="E144" i="5"/>
  <c r="F144" i="5" s="1"/>
  <c r="D144" i="5"/>
  <c r="G144" i="5" s="1"/>
  <c r="A144" i="5"/>
  <c r="E143" i="5"/>
  <c r="F143" i="5" s="1"/>
  <c r="D143" i="5"/>
  <c r="G143" i="5" s="1"/>
  <c r="A143" i="5"/>
  <c r="E142" i="5"/>
  <c r="F142" i="5" s="1"/>
  <c r="D142" i="5"/>
  <c r="G142" i="5" s="1"/>
  <c r="A142" i="5"/>
  <c r="E141" i="5"/>
  <c r="F141" i="5" s="1"/>
  <c r="D141" i="5"/>
  <c r="G141" i="5" s="1"/>
  <c r="A141" i="5"/>
  <c r="E140" i="5"/>
  <c r="F140" i="5" s="1"/>
  <c r="D140" i="5"/>
  <c r="G140" i="5" s="1"/>
  <c r="A140" i="5"/>
  <c r="E139" i="5"/>
  <c r="F139" i="5" s="1"/>
  <c r="D139" i="5"/>
  <c r="G139" i="5" s="1"/>
  <c r="A139" i="5"/>
  <c r="E138" i="5"/>
  <c r="F138" i="5" s="1"/>
  <c r="D138" i="5"/>
  <c r="G138" i="5" s="1"/>
  <c r="A138" i="5"/>
  <c r="E137" i="5"/>
  <c r="F137" i="5" s="1"/>
  <c r="D137" i="5"/>
  <c r="G137" i="5" s="1"/>
  <c r="A137" i="5"/>
  <c r="E136" i="5"/>
  <c r="F136" i="5" s="1"/>
  <c r="D136" i="5"/>
  <c r="G136" i="5" s="1"/>
  <c r="A136" i="5"/>
  <c r="E135" i="5"/>
  <c r="F135" i="5" s="1"/>
  <c r="D135" i="5"/>
  <c r="G135" i="5" s="1"/>
  <c r="A135" i="5"/>
  <c r="E134" i="5"/>
  <c r="F134" i="5" s="1"/>
  <c r="D134" i="5"/>
  <c r="G134" i="5" s="1"/>
  <c r="A134" i="5"/>
  <c r="E133" i="5"/>
  <c r="F133" i="5" s="1"/>
  <c r="D133" i="5"/>
  <c r="G133" i="5" s="1"/>
  <c r="A133" i="5"/>
  <c r="E132" i="5"/>
  <c r="F132" i="5" s="1"/>
  <c r="D132" i="5"/>
  <c r="G132" i="5" s="1"/>
  <c r="A132" i="5"/>
  <c r="E131" i="5"/>
  <c r="F131" i="5" s="1"/>
  <c r="D131" i="5"/>
  <c r="G131" i="5" s="1"/>
  <c r="A131" i="5"/>
  <c r="E130" i="5"/>
  <c r="F130" i="5" s="1"/>
  <c r="D130" i="5"/>
  <c r="G130" i="5" s="1"/>
  <c r="A130" i="5"/>
  <c r="E129" i="5"/>
  <c r="F129" i="5" s="1"/>
  <c r="D129" i="5"/>
  <c r="G129" i="5" s="1"/>
  <c r="A129" i="5"/>
  <c r="E128" i="5"/>
  <c r="F128" i="5" s="1"/>
  <c r="D128" i="5"/>
  <c r="G128" i="5" s="1"/>
  <c r="A128" i="5"/>
  <c r="E127" i="5"/>
  <c r="F127" i="5" s="1"/>
  <c r="D127" i="5"/>
  <c r="G127" i="5" s="1"/>
  <c r="A127" i="5"/>
  <c r="E126" i="5"/>
  <c r="F126" i="5" s="1"/>
  <c r="D126" i="5"/>
  <c r="G126" i="5" s="1"/>
  <c r="A126" i="5"/>
  <c r="E125" i="5"/>
  <c r="F125" i="5" s="1"/>
  <c r="D125" i="5"/>
  <c r="G125" i="5" s="1"/>
  <c r="A125" i="5"/>
  <c r="E124" i="5"/>
  <c r="F124" i="5" s="1"/>
  <c r="D124" i="5"/>
  <c r="G124" i="5" s="1"/>
  <c r="A124" i="5"/>
  <c r="E123" i="5"/>
  <c r="F123" i="5" s="1"/>
  <c r="D123" i="5"/>
  <c r="G123" i="5" s="1"/>
  <c r="A123" i="5"/>
  <c r="E122" i="5"/>
  <c r="F122" i="5" s="1"/>
  <c r="D122" i="5"/>
  <c r="G122" i="5" s="1"/>
  <c r="A122" i="5"/>
  <c r="E121" i="5"/>
  <c r="F121" i="5" s="1"/>
  <c r="D121" i="5"/>
  <c r="G121" i="5" s="1"/>
  <c r="A121" i="5"/>
  <c r="E120" i="5"/>
  <c r="F120" i="5" s="1"/>
  <c r="D120" i="5"/>
  <c r="G120" i="5" s="1"/>
  <c r="A120" i="5"/>
  <c r="E119" i="5"/>
  <c r="F119" i="5" s="1"/>
  <c r="D119" i="5"/>
  <c r="G119" i="5" s="1"/>
  <c r="A119" i="5"/>
  <c r="E118" i="5"/>
  <c r="F118" i="5" s="1"/>
  <c r="D118" i="5"/>
  <c r="G118" i="5" s="1"/>
  <c r="A118" i="5"/>
  <c r="E117" i="5"/>
  <c r="F117" i="5" s="1"/>
  <c r="D117" i="5"/>
  <c r="G117" i="5" s="1"/>
  <c r="A117" i="5"/>
  <c r="E116" i="5"/>
  <c r="F116" i="5" s="1"/>
  <c r="D116" i="5"/>
  <c r="G116" i="5" s="1"/>
  <c r="A116" i="5"/>
  <c r="E115" i="5"/>
  <c r="F115" i="5" s="1"/>
  <c r="D115" i="5"/>
  <c r="G115" i="5" s="1"/>
  <c r="A115" i="5"/>
  <c r="E114" i="5"/>
  <c r="F114" i="5" s="1"/>
  <c r="D114" i="5"/>
  <c r="G114" i="5" s="1"/>
  <c r="A114" i="5"/>
  <c r="E113" i="5"/>
  <c r="F113" i="5" s="1"/>
  <c r="D113" i="5"/>
  <c r="G113" i="5" s="1"/>
  <c r="A113" i="5"/>
  <c r="E112" i="5"/>
  <c r="F112" i="5" s="1"/>
  <c r="D112" i="5"/>
  <c r="G112" i="5" s="1"/>
  <c r="A112" i="5"/>
  <c r="E111" i="5"/>
  <c r="F111" i="5" s="1"/>
  <c r="D111" i="5"/>
  <c r="G111" i="5" s="1"/>
  <c r="A111" i="5"/>
  <c r="E110" i="5"/>
  <c r="F110" i="5" s="1"/>
  <c r="D110" i="5"/>
  <c r="G110" i="5" s="1"/>
  <c r="A110" i="5"/>
  <c r="E109" i="5"/>
  <c r="F109" i="5" s="1"/>
  <c r="D109" i="5"/>
  <c r="G109" i="5" s="1"/>
  <c r="A109" i="5"/>
  <c r="E108" i="5"/>
  <c r="F108" i="5" s="1"/>
  <c r="D108" i="5"/>
  <c r="G108" i="5" s="1"/>
  <c r="A108" i="5"/>
  <c r="E107" i="5"/>
  <c r="F107" i="5" s="1"/>
  <c r="D107" i="5"/>
  <c r="G107" i="5" s="1"/>
  <c r="A107" i="5"/>
  <c r="E106" i="5"/>
  <c r="F106" i="5" s="1"/>
  <c r="D106" i="5"/>
  <c r="G106" i="5" s="1"/>
  <c r="A106" i="5"/>
  <c r="E105" i="5"/>
  <c r="F105" i="5" s="1"/>
  <c r="D105" i="5"/>
  <c r="G105" i="5" s="1"/>
  <c r="A105" i="5"/>
  <c r="E104" i="5"/>
  <c r="F104" i="5" s="1"/>
  <c r="D104" i="5"/>
  <c r="G104" i="5" s="1"/>
  <c r="A104" i="5"/>
  <c r="E103" i="5"/>
  <c r="F103" i="5" s="1"/>
  <c r="D103" i="5"/>
  <c r="G103" i="5" s="1"/>
  <c r="A103" i="5"/>
  <c r="E102" i="5"/>
  <c r="F102" i="5" s="1"/>
  <c r="D102" i="5"/>
  <c r="G102" i="5" s="1"/>
  <c r="A102" i="5"/>
  <c r="E101" i="5"/>
  <c r="F101" i="5" s="1"/>
  <c r="D101" i="5"/>
  <c r="G101" i="5" s="1"/>
  <c r="A101" i="5"/>
  <c r="E100" i="5"/>
  <c r="F100" i="5" s="1"/>
  <c r="D100" i="5"/>
  <c r="G100" i="5" s="1"/>
  <c r="A100" i="5"/>
  <c r="E99" i="5"/>
  <c r="F99" i="5" s="1"/>
  <c r="D99" i="5"/>
  <c r="G99" i="5" s="1"/>
  <c r="A99" i="5"/>
  <c r="E98" i="5"/>
  <c r="F98" i="5" s="1"/>
  <c r="D98" i="5"/>
  <c r="G98" i="5" s="1"/>
  <c r="A98" i="5"/>
  <c r="E97" i="5"/>
  <c r="F97" i="5" s="1"/>
  <c r="G97" i="5"/>
  <c r="E96" i="5"/>
  <c r="G96" i="5"/>
  <c r="E95" i="5"/>
  <c r="G95" i="5"/>
  <c r="E94" i="5"/>
  <c r="F94" i="5" s="1"/>
  <c r="G94" i="5"/>
  <c r="E93" i="5"/>
  <c r="F93" i="5" s="1"/>
  <c r="G93" i="5"/>
  <c r="E92" i="5"/>
  <c r="F92" i="5" s="1"/>
  <c r="G92" i="5"/>
  <c r="E91" i="5"/>
  <c r="G91" i="5"/>
  <c r="E90" i="5"/>
  <c r="F90" i="5" s="1"/>
  <c r="G90" i="5"/>
  <c r="E89" i="5"/>
  <c r="F89" i="5" s="1"/>
  <c r="G89" i="5"/>
  <c r="E88" i="5"/>
  <c r="F88" i="5" s="1"/>
  <c r="G88" i="5"/>
  <c r="E87" i="5"/>
  <c r="G87" i="5"/>
  <c r="E86" i="5"/>
  <c r="F86" i="5" s="1"/>
  <c r="G86" i="5"/>
  <c r="E85" i="5"/>
  <c r="F85" i="5" s="1"/>
  <c r="G85" i="5"/>
  <c r="E84" i="5"/>
  <c r="G84" i="5"/>
  <c r="E83" i="5"/>
  <c r="F83" i="5" s="1"/>
  <c r="G83" i="5"/>
  <c r="E82" i="5"/>
  <c r="G82" i="5"/>
  <c r="E81" i="5"/>
  <c r="F81" i="5" s="1"/>
  <c r="G81" i="5"/>
  <c r="E80" i="5"/>
  <c r="F80" i="5" s="1"/>
  <c r="G80" i="5"/>
  <c r="E79" i="5"/>
  <c r="G79" i="5"/>
  <c r="E78" i="5"/>
  <c r="F78" i="5" s="1"/>
  <c r="G78" i="5"/>
  <c r="E77" i="5"/>
  <c r="F77" i="5" s="1"/>
  <c r="G77" i="5"/>
  <c r="E76" i="5"/>
  <c r="F76" i="5" s="1"/>
  <c r="G76" i="5"/>
  <c r="E75" i="5"/>
  <c r="G75" i="5"/>
  <c r="E74" i="5"/>
  <c r="G74" i="5"/>
  <c r="E73" i="5"/>
  <c r="G73" i="5"/>
  <c r="E72" i="5"/>
  <c r="G72" i="5"/>
  <c r="E71" i="5"/>
  <c r="G71" i="5"/>
  <c r="E70" i="5"/>
  <c r="G70" i="5"/>
  <c r="E69" i="5"/>
  <c r="F69" i="5" s="1"/>
  <c r="G69" i="5"/>
  <c r="E68" i="5"/>
  <c r="G68" i="5"/>
  <c r="E67" i="5"/>
  <c r="F67" i="5" s="1"/>
  <c r="G67" i="5"/>
  <c r="E66" i="5"/>
  <c r="F66" i="5" s="1"/>
  <c r="G66" i="5"/>
  <c r="E65" i="5"/>
  <c r="F65" i="5" s="1"/>
  <c r="G65" i="5"/>
  <c r="E64" i="5"/>
  <c r="F64" i="5" s="1"/>
  <c r="G64" i="5"/>
  <c r="E63" i="5"/>
  <c r="F63" i="5" s="1"/>
  <c r="G63" i="5"/>
  <c r="E62" i="5"/>
  <c r="G62" i="5"/>
  <c r="E61" i="5"/>
  <c r="G61" i="5"/>
  <c r="E60" i="5"/>
  <c r="F60" i="5" s="1"/>
  <c r="G60" i="5"/>
  <c r="E59" i="5"/>
  <c r="F59" i="5" s="1"/>
  <c r="G59" i="5"/>
  <c r="E58" i="5"/>
  <c r="G58" i="5"/>
  <c r="E57" i="5"/>
  <c r="G57" i="5"/>
  <c r="E56" i="5"/>
  <c r="G56" i="5"/>
  <c r="E55" i="5"/>
  <c r="G55" i="5"/>
  <c r="E54" i="5"/>
  <c r="G54" i="5"/>
  <c r="E53" i="5"/>
  <c r="G53" i="5"/>
  <c r="E52" i="5"/>
  <c r="F52" i="5" s="1"/>
  <c r="G52" i="5"/>
  <c r="E51" i="5"/>
  <c r="F51" i="5" s="1"/>
  <c r="G51" i="5"/>
  <c r="E50" i="5"/>
  <c r="F50" i="5" s="1"/>
  <c r="G50" i="5"/>
  <c r="E49" i="5"/>
  <c r="G49" i="5"/>
  <c r="E48" i="5"/>
  <c r="G48" i="5"/>
  <c r="E47" i="5"/>
  <c r="F47" i="5" s="1"/>
  <c r="G47" i="5"/>
  <c r="E46" i="5"/>
  <c r="F46" i="5" s="1"/>
  <c r="G46" i="5"/>
  <c r="E45" i="5"/>
  <c r="F45" i="5" s="1"/>
  <c r="G45" i="5"/>
  <c r="E44" i="5"/>
  <c r="G44" i="5"/>
  <c r="E43" i="5"/>
  <c r="F43" i="5" s="1"/>
  <c r="G43" i="5"/>
  <c r="E42" i="5"/>
  <c r="F42" i="5" s="1"/>
  <c r="G42" i="5"/>
  <c r="E41" i="5"/>
  <c r="G41" i="5"/>
  <c r="E40" i="5"/>
  <c r="G40" i="5"/>
  <c r="E39" i="5"/>
  <c r="G39" i="5"/>
  <c r="E38" i="5"/>
  <c r="G38" i="5"/>
  <c r="E37" i="5"/>
  <c r="G37" i="5"/>
  <c r="A37" i="5"/>
  <c r="E36" i="5"/>
  <c r="A36" i="5"/>
  <c r="E35" i="5"/>
  <c r="G35" i="5"/>
  <c r="A35" i="5"/>
  <c r="V34" i="5"/>
  <c r="S34" i="5"/>
  <c r="R34" i="5"/>
  <c r="Q34" i="5"/>
  <c r="P34" i="5"/>
  <c r="O34" i="5"/>
  <c r="N34" i="5"/>
  <c r="M34" i="5"/>
  <c r="L34" i="5"/>
  <c r="K34" i="5"/>
  <c r="J34" i="5"/>
  <c r="I34" i="5"/>
  <c r="H34" i="5"/>
  <c r="T33" i="5"/>
  <c r="R33" i="5"/>
  <c r="P33" i="5"/>
  <c r="N33" i="5"/>
  <c r="L33" i="5"/>
  <c r="J33" i="5"/>
  <c r="H33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W24" i="5"/>
  <c r="V24" i="5"/>
  <c r="U24" i="5"/>
  <c r="S24" i="5"/>
  <c r="R24" i="5"/>
  <c r="Q24" i="5"/>
  <c r="P24" i="5"/>
  <c r="O24" i="5"/>
  <c r="N24" i="5"/>
  <c r="M24" i="5"/>
  <c r="L24" i="5"/>
  <c r="K24" i="5"/>
  <c r="J24" i="5"/>
  <c r="I24" i="5"/>
  <c r="H24" i="5"/>
  <c r="V23" i="5"/>
  <c r="T23" i="5"/>
  <c r="R23" i="5"/>
  <c r="P23" i="5"/>
  <c r="N23" i="5"/>
  <c r="L23" i="5"/>
  <c r="J23" i="5"/>
  <c r="H23" i="5"/>
  <c r="V22" i="5"/>
  <c r="R22" i="5"/>
  <c r="P22" i="5"/>
  <c r="N22" i="5"/>
  <c r="L22" i="5"/>
  <c r="J22" i="5"/>
  <c r="H22" i="5"/>
  <c r="V21" i="5"/>
  <c r="R21" i="5"/>
  <c r="P21" i="5"/>
  <c r="N21" i="5"/>
  <c r="L21" i="5"/>
  <c r="J21" i="5"/>
  <c r="V20" i="5"/>
  <c r="R20" i="5"/>
  <c r="P20" i="5"/>
  <c r="N20" i="5"/>
  <c r="L20" i="5"/>
  <c r="V19" i="5"/>
  <c r="T19" i="5"/>
  <c r="R19" i="5"/>
  <c r="P19" i="5"/>
  <c r="N19" i="5"/>
  <c r="L19" i="5"/>
  <c r="J19" i="5"/>
  <c r="H19" i="5"/>
  <c r="V18" i="5"/>
  <c r="V17" i="5" s="1"/>
  <c r="V29" i="5" s="1"/>
  <c r="T18" i="5"/>
  <c r="R18" i="5"/>
  <c r="R17" i="5" s="1"/>
  <c r="R29" i="5" s="1"/>
  <c r="P18" i="5"/>
  <c r="P17" i="5" s="1"/>
  <c r="P29" i="5" s="1"/>
  <c r="N18" i="5"/>
  <c r="N17" i="5" s="1"/>
  <c r="N29" i="5" s="1"/>
  <c r="L18" i="5"/>
  <c r="J18" i="5"/>
  <c r="H18" i="5"/>
  <c r="H17" i="5" s="1"/>
  <c r="H29" i="5" s="1"/>
  <c r="V16" i="5"/>
  <c r="T16" i="5"/>
  <c r="R16" i="5"/>
  <c r="P16" i="5"/>
  <c r="N16" i="5"/>
  <c r="L16" i="5"/>
  <c r="J16" i="5"/>
  <c r="H16" i="5"/>
  <c r="A14" i="5"/>
  <c r="A13" i="5"/>
  <c r="A12" i="5"/>
  <c r="A11" i="5"/>
  <c r="A10" i="5"/>
  <c r="A9" i="5"/>
  <c r="A8" i="5"/>
  <c r="A7" i="5"/>
  <c r="A6" i="5"/>
  <c r="F54" i="5" l="1"/>
  <c r="F58" i="5"/>
  <c r="F62" i="5"/>
  <c r="F70" i="5"/>
  <c r="F74" i="5"/>
  <c r="F82" i="5"/>
  <c r="F53" i="5"/>
  <c r="F57" i="5"/>
  <c r="F73" i="5"/>
  <c r="F56" i="5"/>
  <c r="F68" i="5"/>
  <c r="F72" i="5"/>
  <c r="F84" i="5"/>
  <c r="F96" i="5"/>
  <c r="F49" i="5"/>
  <c r="F61" i="5"/>
  <c r="F55" i="5"/>
  <c r="F71" i="5"/>
  <c r="F75" i="5"/>
  <c r="F79" i="5"/>
  <c r="F87" i="5"/>
  <c r="F91" i="5"/>
  <c r="F95" i="5"/>
  <c r="F44" i="5"/>
  <c r="F41" i="5"/>
  <c r="F48" i="5"/>
  <c r="J17" i="5"/>
  <c r="J29" i="5" s="1"/>
  <c r="E23" i="5"/>
  <c r="F40" i="5"/>
  <c r="D18" i="5"/>
  <c r="D27" i="5"/>
  <c r="F37" i="5"/>
  <c r="F38" i="5"/>
  <c r="L17" i="5"/>
  <c r="L29" i="5" s="1"/>
  <c r="T17" i="5"/>
  <c r="T29" i="5" s="1"/>
  <c r="G36" i="5"/>
  <c r="F36" i="5" s="1"/>
  <c r="E19" i="5"/>
  <c r="F39" i="5"/>
  <c r="F35" i="5"/>
  <c r="D24" i="5"/>
  <c r="D25" i="5"/>
  <c r="D26" i="5"/>
  <c r="D17" i="5" l="1"/>
  <c r="D29" i="5" s="1"/>
  <c r="E22" i="5"/>
  <c r="E21" i="5"/>
  <c r="E20" i="5"/>
</calcChain>
</file>

<file path=xl/sharedStrings.xml><?xml version="1.0" encoding="utf-8"?>
<sst xmlns="http://schemas.openxmlformats.org/spreadsheetml/2006/main" count="820" uniqueCount="228">
  <si>
    <t>FIRST SEMESTER</t>
  </si>
  <si>
    <t>S.N.</t>
  </si>
  <si>
    <t>Course Code</t>
  </si>
  <si>
    <t>Course Name</t>
  </si>
  <si>
    <t>Staff Incharge</t>
  </si>
  <si>
    <t xml:space="preserve">University Course Code                                                  </t>
  </si>
  <si>
    <t>INDICATORS OF THE CLASS</t>
  </si>
  <si>
    <t>Percentage of Results</t>
  </si>
  <si>
    <t>No. of Students Passed</t>
  </si>
  <si>
    <t>No. of Students Appeared</t>
  </si>
  <si>
    <t>No. of Passed with FCD</t>
  </si>
  <si>
    <t>No. of Passed with FC</t>
  </si>
  <si>
    <t>No. of Passed with SC</t>
  </si>
  <si>
    <t xml:space="preserve">No. of Students Failed </t>
  </si>
  <si>
    <t>Maximum Score</t>
  </si>
  <si>
    <t>Minimum Score</t>
  </si>
  <si>
    <t>Median Score</t>
  </si>
  <si>
    <t>Average Score</t>
  </si>
  <si>
    <t>Result Target</t>
  </si>
  <si>
    <t>Target Achived? ( YES/NO)</t>
  </si>
  <si>
    <t>HOD</t>
  </si>
  <si>
    <t>Result</t>
  </si>
  <si>
    <t>USN</t>
  </si>
  <si>
    <t>NAME</t>
  </si>
  <si>
    <t>% Marks</t>
  </si>
  <si>
    <t>GRADE</t>
  </si>
  <si>
    <t>Minimum Pass Marks in SEE</t>
  </si>
  <si>
    <t>Total Maximum Marks of all courses</t>
  </si>
  <si>
    <t>BMATE101</t>
  </si>
  <si>
    <t>Mathematics-I for EEE Streams</t>
  </si>
  <si>
    <t>BPHYE102</t>
  </si>
  <si>
    <t>Applied Physics for EEE Stream</t>
  </si>
  <si>
    <t>BBEE103</t>
  </si>
  <si>
    <t>Basic Electronicsfor EEE stream</t>
  </si>
  <si>
    <t>BENGK106</t>
  </si>
  <si>
    <t>Communicative English</t>
  </si>
  <si>
    <t>BKSKK107</t>
  </si>
  <si>
    <t>Samskrutika Kannada</t>
  </si>
  <si>
    <t>BIDTK158</t>
  </si>
  <si>
    <t>Scientific Foundations of Health</t>
  </si>
  <si>
    <t>BESCK104E</t>
  </si>
  <si>
    <t>Introduction to C Programming</t>
  </si>
  <si>
    <t>BETCK105H</t>
  </si>
  <si>
    <t>Introduction to IoT</t>
  </si>
  <si>
    <t>RESULT ANALYSIS - UG-2022-26 BATCH, AY-2023-24</t>
  </si>
  <si>
    <t>RESULT ANALYSIS - UG-2022-26 BATCH, AY-2022-23</t>
  </si>
  <si>
    <t>4KV22EC001</t>
  </si>
  <si>
    <t>ABHISHEK</t>
  </si>
  <si>
    <t>4KV22EC002</t>
  </si>
  <si>
    <t>ABHISHEK D B</t>
  </si>
  <si>
    <t>4KV22EC003</t>
  </si>
  <si>
    <t>ADITHYA R</t>
  </si>
  <si>
    <t>4KV22EC004</t>
  </si>
  <si>
    <t>AKASH G</t>
  </si>
  <si>
    <t>4KV22EC005</t>
  </si>
  <si>
    <t>AKASH M</t>
  </si>
  <si>
    <t>4KV22EC006</t>
  </si>
  <si>
    <t>AKSHIJA L A</t>
  </si>
  <si>
    <t>4KV22EC007</t>
  </si>
  <si>
    <t>ANUJITH V</t>
  </si>
  <si>
    <t>4KV22EC008</t>
  </si>
  <si>
    <t>ARJUN S M</t>
  </si>
  <si>
    <t>4KV22EC009</t>
  </si>
  <si>
    <t>AVIN K V</t>
  </si>
  <si>
    <t>4KV22EC010</t>
  </si>
  <si>
    <t>BHASKAR</t>
  </si>
  <si>
    <t>4KV22EC011</t>
  </si>
  <si>
    <t>BHAVITH A</t>
  </si>
  <si>
    <t>4KV22EC012</t>
  </si>
  <si>
    <t>CHANDANA A</t>
  </si>
  <si>
    <t>4KV22EC013</t>
  </si>
  <si>
    <t>DARSHAN H N</t>
  </si>
  <si>
    <t>4KV22EC014</t>
  </si>
  <si>
    <t>DARSHAN U G</t>
  </si>
  <si>
    <t>4KV22EC015</t>
  </si>
  <si>
    <t>DEEPAK</t>
  </si>
  <si>
    <t>4KV22EC016</t>
  </si>
  <si>
    <t>DEVIKA J</t>
  </si>
  <si>
    <t>4KV22EC017</t>
  </si>
  <si>
    <t>GIRISH M</t>
  </si>
  <si>
    <t>4KV22EC018</t>
  </si>
  <si>
    <t>GOWRAV M U</t>
  </si>
  <si>
    <t>4KV22EC019</t>
  </si>
  <si>
    <t>GURUCHARAN A</t>
  </si>
  <si>
    <t>4KV22EC020</t>
  </si>
  <si>
    <t>H H THRUPTHI</t>
  </si>
  <si>
    <t>4KV22EC021</t>
  </si>
  <si>
    <t>HARSHA M D</t>
  </si>
  <si>
    <t>4KV22EC022</t>
  </si>
  <si>
    <t>HARSHITHA</t>
  </si>
  <si>
    <t>4KV22EC023</t>
  </si>
  <si>
    <t>HEMANTH KUMAR B</t>
  </si>
  <si>
    <t>4KV22EC024</t>
  </si>
  <si>
    <t>JNANAVI M K</t>
  </si>
  <si>
    <t>4KV22EC025</t>
  </si>
  <si>
    <t>K MAHAMMED AFIL</t>
  </si>
  <si>
    <t>4KV22EC026</t>
  </si>
  <si>
    <t>KEERTHAN K S</t>
  </si>
  <si>
    <t>4KV22EC027</t>
  </si>
  <si>
    <t>KEERTHANA R</t>
  </si>
  <si>
    <t>4KV22EC028</t>
  </si>
  <si>
    <t>KEERTHI P</t>
  </si>
  <si>
    <t>4KV22EC029</t>
  </si>
  <si>
    <t>KUSHI R S</t>
  </si>
  <si>
    <t>4KV22EC030</t>
  </si>
  <si>
    <t>MANISH G</t>
  </si>
  <si>
    <t>4KV22EC031</t>
  </si>
  <si>
    <t>MOHAMMED YASEEN HAFIZ</t>
  </si>
  <si>
    <t>4KV22EC032</t>
  </si>
  <si>
    <t>MUHAMMAD NABEEL S A</t>
  </si>
  <si>
    <t>4KV22EC033</t>
  </si>
  <si>
    <t>MUHAMMAD NAWAL S A</t>
  </si>
  <si>
    <t>4KV22EC034</t>
  </si>
  <si>
    <t>NANDINI S</t>
  </si>
  <si>
    <t>4KV22EC035</t>
  </si>
  <si>
    <t>NAYANA G S</t>
  </si>
  <si>
    <t>4KV22EC036</t>
  </si>
  <si>
    <t>NEEHA N H</t>
  </si>
  <si>
    <t>4KV22EC037</t>
  </si>
  <si>
    <t>NETHRAVATHI S R</t>
  </si>
  <si>
    <t>4KV22EC038</t>
  </si>
  <si>
    <t>POOJA K</t>
  </si>
  <si>
    <t>4KV22EC039</t>
  </si>
  <si>
    <t>PRAJWAL B R</t>
  </si>
  <si>
    <t>4KV22EC040</t>
  </si>
  <si>
    <t>PRIYA</t>
  </si>
  <si>
    <t>4KV22EC041</t>
  </si>
  <si>
    <t>PRIYANKA S J</t>
  </si>
  <si>
    <t>4KV22EC042</t>
  </si>
  <si>
    <t>RASHMI B</t>
  </si>
  <si>
    <t>4KV22EC043</t>
  </si>
  <si>
    <t>SAHANA P ANAND</t>
  </si>
  <si>
    <t>4KV22EC044</t>
  </si>
  <si>
    <t>SAKSHI SHETTI</t>
  </si>
  <si>
    <t>4KV22EC045</t>
  </si>
  <si>
    <t>SANDHYA</t>
  </si>
  <si>
    <t>4KV22EC046</t>
  </si>
  <si>
    <t>SANJANA G N</t>
  </si>
  <si>
    <t>4KV22EC048</t>
  </si>
  <si>
    <t>SHRAVYA M S</t>
  </si>
  <si>
    <t>4KV22EC049</t>
  </si>
  <si>
    <t>SUKHESH R SHETTY</t>
  </si>
  <si>
    <t>4KV22EC050</t>
  </si>
  <si>
    <t>THRISHA RAI M</t>
  </si>
  <si>
    <t>4KV22EC051</t>
  </si>
  <si>
    <t>THRUPTHI</t>
  </si>
  <si>
    <t>4KV22EC052</t>
  </si>
  <si>
    <t>VENKATESH S</t>
  </si>
  <si>
    <t>4KV22EC053</t>
  </si>
  <si>
    <t>VIDYASHREE K</t>
  </si>
  <si>
    <t>4KV22EC054</t>
  </si>
  <si>
    <t>VIKHYATH Y</t>
  </si>
  <si>
    <t>4KV22EC055</t>
  </si>
  <si>
    <t>VISHNU M A</t>
  </si>
  <si>
    <t>4KV22EC056</t>
  </si>
  <si>
    <t>YASHASWINI M N</t>
  </si>
  <si>
    <t>4KV23EC400</t>
  </si>
  <si>
    <t>AKASH S R</t>
  </si>
  <si>
    <t>4KV23EC401</t>
  </si>
  <si>
    <t>BHAVITH P G</t>
  </si>
  <si>
    <t>4KV23EC402</t>
  </si>
  <si>
    <t>MANOJ H M</t>
  </si>
  <si>
    <t>4KV23EC403</t>
  </si>
  <si>
    <t>POOJA L</t>
  </si>
  <si>
    <t>4KV23EC404</t>
  </si>
  <si>
    <t>PREEETHAM K H</t>
  </si>
  <si>
    <t>4KV23EC405</t>
  </si>
  <si>
    <t>ROSHAN K NAIK</t>
  </si>
  <si>
    <t>4KV23EC406</t>
  </si>
  <si>
    <t>UDAYA KUMAR K J</t>
  </si>
  <si>
    <t>4KV23EC407</t>
  </si>
  <si>
    <t>VINOD KRISHNA K</t>
  </si>
  <si>
    <t>SECOND SEMESTER</t>
  </si>
  <si>
    <t>THIRD SEMESTER</t>
  </si>
  <si>
    <t>MATEC301</t>
  </si>
  <si>
    <t>AV Mathematics-III for EC Engineering</t>
  </si>
  <si>
    <t>BEC302</t>
  </si>
  <si>
    <t>Digital System Design Using Verilog</t>
  </si>
  <si>
    <t>BEC303</t>
  </si>
  <si>
    <t>Eletronic Principles and Circuits</t>
  </si>
  <si>
    <t>BEC304</t>
  </si>
  <si>
    <t>Network Analysis</t>
  </si>
  <si>
    <t>BECL305</t>
  </si>
  <si>
    <t>Analog and Digital System Design Lab</t>
  </si>
  <si>
    <t>BEC306C</t>
  </si>
  <si>
    <t>Computer Organization and Architecture</t>
  </si>
  <si>
    <t>BSCK307</t>
  </si>
  <si>
    <t>Social Connect Responsibility</t>
  </si>
  <si>
    <t>BEC358C</t>
  </si>
  <si>
    <t>C++ Basics</t>
  </si>
  <si>
    <t>BNSK359</t>
  </si>
  <si>
    <t>National Service Scheme</t>
  </si>
  <si>
    <t>BPEK359</t>
  </si>
  <si>
    <t>Physical Education</t>
  </si>
  <si>
    <t>Mr. Kiran B</t>
  </si>
  <si>
    <t>Mr. Lokesh P C</t>
  </si>
  <si>
    <t>Mrs. Rekha A A</t>
  </si>
  <si>
    <t>Mrs. Rekha M B</t>
  </si>
  <si>
    <t>Dr. Kusumadhara S</t>
  </si>
  <si>
    <t>Mr. Adarsha D</t>
  </si>
  <si>
    <t>Mr. Sathyajith M</t>
  </si>
  <si>
    <t>CIE</t>
  </si>
  <si>
    <t>NA</t>
  </si>
  <si>
    <t>SEE</t>
  </si>
  <si>
    <t>4KV22EC047</t>
  </si>
  <si>
    <t>SANKETH RAI M</t>
  </si>
  <si>
    <t>FOURTH SEMESTER</t>
  </si>
  <si>
    <t>BEC401</t>
  </si>
  <si>
    <t>BEC402</t>
  </si>
  <si>
    <t>BEC403</t>
  </si>
  <si>
    <t>BECL404</t>
  </si>
  <si>
    <t>BBOK407</t>
  </si>
  <si>
    <t>BUHK408</t>
  </si>
  <si>
    <t>BNSK459</t>
  </si>
  <si>
    <t>BECL456A</t>
  </si>
  <si>
    <t>Electromagnetics Theory</t>
  </si>
  <si>
    <t>Principles of Communication Systems</t>
  </si>
  <si>
    <t xml:space="preserve">Control Systems </t>
  </si>
  <si>
    <t xml:space="preserve">Communication Lab  </t>
  </si>
  <si>
    <t xml:space="preserve">Biology For Engineers </t>
  </si>
  <si>
    <t xml:space="preserve">Universal human values course </t>
  </si>
  <si>
    <t>Microcontroller Lab</t>
  </si>
  <si>
    <t xml:space="preserve">Operating Systems </t>
  </si>
  <si>
    <t>BNSK405C</t>
  </si>
  <si>
    <t>National Service Scheme (NSS)</t>
  </si>
  <si>
    <t>Mr. Jagadeesha M</t>
  </si>
  <si>
    <t>Mrs. Aruna P G</t>
  </si>
  <si>
    <t>Dr. Savitha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</si>
</sst>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rial Rounded MT Bold"/>
      <family val="2"/>
    </font>
    <font>
      <b/>
      <sz val="18"/>
      <color theme="1"/>
      <name val="Algerian"/>
      <family val="5"/>
    </font>
    <font>
      <b/>
      <sz val="16"/>
      <color theme="1"/>
      <name val="Bahnschrift"/>
      <family val="2"/>
    </font>
    <font>
      <sz val="1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b/>
      <sz val="10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9"/>
      <name val="Cambria"/>
      <family val="1"/>
    </font>
    <font>
      <sz val="11"/>
      <name val="Cambria"/>
      <family val="1"/>
    </font>
    <font>
      <b/>
      <sz val="8"/>
      <name val="Cambria"/>
      <family val="1"/>
    </font>
    <font>
      <sz val="14"/>
      <color theme="1"/>
      <name val="Cambria"/>
      <family val="1"/>
    </font>
    <font>
      <sz val="12"/>
      <name val="Cambria"/>
      <family val="1"/>
    </font>
    <font>
      <sz val="11"/>
      <color theme="0"/>
      <name val="Cambria"/>
      <family val="1"/>
    </font>
    <font>
      <b/>
      <sz val="9"/>
      <color theme="1"/>
      <name val="Cambria"/>
      <family val="1"/>
    </font>
    <font>
      <b/>
      <sz val="7"/>
      <name val="Cambria"/>
      <family val="1"/>
    </font>
    <font>
      <sz val="10"/>
      <name val="Cambria"/>
      <family val="1"/>
    </font>
    <font>
      <b/>
      <sz val="16"/>
      <color theme="1"/>
      <name val="Algerian"/>
      <family val="5"/>
    </font>
    <font>
      <b/>
      <sz val="14"/>
      <color theme="1"/>
      <name val="Bahnschrift"/>
      <family val="2"/>
    </font>
    <font>
      <sz val="9"/>
      <color theme="1"/>
      <name val="Cambria"/>
      <family val="1"/>
    </font>
    <font>
      <b/>
      <sz val="16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1"/>
      <name val="Calibri Light"/>
      <family val="2"/>
      <scheme val="major"/>
    </font>
    <font>
      <b/>
      <sz val="7"/>
      <color theme="1"/>
      <name val="Cambria"/>
      <family val="1"/>
    </font>
    <font>
      <sz val="11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Fill="1" applyBorder="1" applyProtection="1"/>
    <xf numFmtId="0" fontId="4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left"/>
      <protection locked="0"/>
    </xf>
    <xf numFmtId="0" fontId="6" fillId="0" borderId="0" xfId="0" applyFont="1" applyFill="1" applyBorder="1" applyAlignment="1" applyProtection="1">
      <protection locked="0"/>
    </xf>
    <xf numFmtId="0" fontId="7" fillId="0" borderId="0" xfId="0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left"/>
    </xf>
    <xf numFmtId="0" fontId="6" fillId="0" borderId="1" xfId="0" applyFont="1" applyFill="1" applyBorder="1" applyAlignment="1" applyProtection="1">
      <alignment horizontal="left"/>
    </xf>
    <xf numFmtId="0" fontId="12" fillId="0" borderId="1" xfId="0" applyFont="1" applyFill="1" applyBorder="1" applyAlignment="1" applyProtection="1"/>
    <xf numFmtId="0" fontId="13" fillId="0" borderId="1" xfId="0" applyFont="1" applyFill="1" applyBorder="1" applyAlignment="1" applyProtection="1"/>
    <xf numFmtId="0" fontId="13" fillId="0" borderId="2" xfId="0" applyFont="1" applyFill="1" applyBorder="1" applyAlignment="1" applyProtection="1"/>
    <xf numFmtId="0" fontId="15" fillId="0" borderId="1" xfId="0" applyFont="1" applyFill="1" applyBorder="1" applyAlignment="1" applyProtection="1">
      <alignment horizontal="left" vertical="center" wrapText="1"/>
    </xf>
    <xf numFmtId="0" fontId="6" fillId="0" borderId="1" xfId="0" applyFont="1" applyFill="1" applyBorder="1" applyProtection="1">
      <protection locked="0"/>
    </xf>
    <xf numFmtId="0" fontId="6" fillId="0" borderId="1" xfId="1" applyNumberFormat="1" applyFont="1" applyFill="1" applyBorder="1" applyProtection="1">
      <protection locked="0"/>
    </xf>
    <xf numFmtId="0" fontId="6" fillId="0" borderId="0" xfId="0" applyFont="1" applyFill="1" applyBorder="1" applyProtection="1"/>
    <xf numFmtId="0" fontId="7" fillId="0" borderId="0" xfId="0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/>
    <xf numFmtId="0" fontId="15" fillId="0" borderId="0" xfId="0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protection locked="0"/>
    </xf>
    <xf numFmtId="0" fontId="17" fillId="0" borderId="0" xfId="0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Alignment="1" applyProtection="1">
      <alignment horizontal="left"/>
      <protection locked="0"/>
    </xf>
    <xf numFmtId="0" fontId="18" fillId="0" borderId="0" xfId="0" applyFont="1" applyFill="1" applyBorder="1" applyAlignment="1" applyProtection="1">
      <alignment horizontal="center"/>
      <protection locked="0"/>
    </xf>
    <xf numFmtId="0" fontId="15" fillId="0" borderId="0" xfId="0" applyFont="1" applyFill="1" applyBorder="1" applyAlignment="1" applyProtection="1">
      <alignment horizontal="center"/>
      <protection locked="0"/>
    </xf>
    <xf numFmtId="0" fontId="15" fillId="0" borderId="0" xfId="0" applyFont="1" applyFill="1" applyBorder="1" applyAlignment="1" applyProtection="1">
      <alignment vertical="center"/>
    </xf>
    <xf numFmtId="0" fontId="9" fillId="0" borderId="1" xfId="0" applyFont="1" applyFill="1" applyBorder="1" applyAlignment="1" applyProtection="1">
      <alignment horizontal="left"/>
    </xf>
    <xf numFmtId="0" fontId="6" fillId="0" borderId="3" xfId="0" applyFont="1" applyFill="1" applyBorder="1" applyAlignment="1" applyProtection="1">
      <alignment horizontal="left"/>
    </xf>
    <xf numFmtId="0" fontId="9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left"/>
    </xf>
    <xf numFmtId="0" fontId="6" fillId="0" borderId="0" xfId="0" applyFont="1" applyFill="1" applyBorder="1" applyProtection="1">
      <protection locked="0"/>
    </xf>
    <xf numFmtId="0" fontId="15" fillId="0" borderId="1" xfId="0" applyFont="1" applyFill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center"/>
    </xf>
    <xf numFmtId="2" fontId="6" fillId="0" borderId="1" xfId="0" applyNumberFormat="1" applyFont="1" applyFill="1" applyBorder="1" applyAlignment="1" applyProtection="1">
      <alignment horizontal="center"/>
    </xf>
    <xf numFmtId="0" fontId="19" fillId="0" borderId="1" xfId="0" applyFont="1" applyFill="1" applyBorder="1" applyAlignment="1" applyProtection="1">
      <alignment horizontal="center"/>
    </xf>
    <xf numFmtId="0" fontId="15" fillId="0" borderId="1" xfId="1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1" fontId="15" fillId="0" borderId="1" xfId="0" applyNumberFormat="1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/>
    </xf>
    <xf numFmtId="0" fontId="15" fillId="0" borderId="2" xfId="0" applyFont="1" applyFill="1" applyBorder="1" applyAlignment="1" applyProtection="1">
      <alignment horizontal="center"/>
    </xf>
    <xf numFmtId="0" fontId="15" fillId="0" borderId="3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13" fillId="0" borderId="0" xfId="0" applyFont="1" applyFill="1" applyBorder="1" applyAlignment="1" applyProtection="1">
      <alignment horizontal="left"/>
      <protection locked="0"/>
    </xf>
    <xf numFmtId="0" fontId="13" fillId="0" borderId="0" xfId="0" applyFont="1" applyFill="1" applyBorder="1" applyAlignment="1" applyProtection="1">
      <protection locked="0"/>
    </xf>
    <xf numFmtId="0" fontId="21" fillId="0" borderId="1" xfId="0" applyFont="1" applyFill="1" applyBorder="1" applyAlignment="1" applyProtection="1">
      <alignment vertical="center"/>
      <protection locked="0"/>
    </xf>
    <xf numFmtId="0" fontId="9" fillId="0" borderId="3" xfId="0" applyFont="1" applyFill="1" applyBorder="1" applyAlignment="1" applyProtection="1"/>
    <xf numFmtId="0" fontId="22" fillId="0" borderId="0" xfId="0" applyFont="1" applyFill="1" applyBorder="1" applyAlignment="1" applyProtection="1">
      <alignment horizontal="center"/>
      <protection locked="0"/>
    </xf>
    <xf numFmtId="0" fontId="12" fillId="0" borderId="1" xfId="0" applyFont="1" applyFill="1" applyBorder="1" applyAlignment="1" applyProtection="1">
      <alignment horizontal="left"/>
    </xf>
    <xf numFmtId="0" fontId="9" fillId="0" borderId="0" xfId="0" applyFont="1" applyFill="1" applyBorder="1" applyAlignment="1" applyProtection="1"/>
    <xf numFmtId="0" fontId="9" fillId="0" borderId="4" xfId="0" applyFont="1" applyFill="1" applyBorder="1" applyAlignment="1" applyProtection="1">
      <alignment horizontal="center"/>
    </xf>
    <xf numFmtId="0" fontId="0" fillId="0" borderId="2" xfId="0" applyFill="1" applyBorder="1" applyProtection="1"/>
    <xf numFmtId="0" fontId="25" fillId="0" borderId="0" xfId="0" applyFont="1" applyFill="1" applyBorder="1" applyAlignment="1" applyProtection="1">
      <protection locked="0"/>
    </xf>
    <xf numFmtId="0" fontId="6" fillId="0" borderId="6" xfId="0" applyFont="1" applyFill="1" applyBorder="1" applyAlignment="1" applyProtection="1">
      <alignment horizontal="center"/>
    </xf>
    <xf numFmtId="0" fontId="6" fillId="0" borderId="6" xfId="0" applyFont="1" applyFill="1" applyBorder="1" applyProtection="1">
      <protection locked="0"/>
    </xf>
    <xf numFmtId="2" fontId="6" fillId="0" borderId="6" xfId="0" applyNumberFormat="1" applyFont="1" applyFill="1" applyBorder="1" applyAlignment="1" applyProtection="1">
      <alignment horizontal="center"/>
    </xf>
    <xf numFmtId="0" fontId="19" fillId="0" borderId="6" xfId="0" applyFont="1" applyFill="1" applyBorder="1" applyAlignment="1" applyProtection="1">
      <alignment horizontal="center"/>
    </xf>
    <xf numFmtId="0" fontId="15" fillId="0" borderId="6" xfId="0" applyFont="1" applyFill="1" applyBorder="1" applyAlignment="1" applyProtection="1">
      <alignment horizontal="center"/>
      <protection locked="0"/>
    </xf>
    <xf numFmtId="2" fontId="6" fillId="0" borderId="0" xfId="0" applyNumberFormat="1" applyFont="1" applyFill="1" applyBorder="1" applyAlignment="1" applyProtection="1">
      <alignment horizontal="center"/>
    </xf>
    <xf numFmtId="0" fontId="19" fillId="0" borderId="0" xfId="0" applyFont="1" applyFill="1" applyBorder="1" applyAlignment="1" applyProtection="1">
      <alignment horizontal="center"/>
    </xf>
    <xf numFmtId="0" fontId="0" fillId="0" borderId="0" xfId="0" applyBorder="1"/>
    <xf numFmtId="0" fontId="6" fillId="0" borderId="7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1" fontId="15" fillId="0" borderId="1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2" fontId="11" fillId="0" borderId="7" xfId="0" applyNumberFormat="1" applyFont="1" applyFill="1" applyBorder="1" applyAlignment="1" applyProtection="1"/>
    <xf numFmtId="0" fontId="10" fillId="0" borderId="12" xfId="0" applyFont="1" applyFill="1" applyBorder="1" applyAlignment="1" applyProtection="1">
      <alignment horizontal="center"/>
    </xf>
    <xf numFmtId="0" fontId="9" fillId="0" borderId="13" xfId="0" applyFont="1" applyFill="1" applyBorder="1" applyAlignment="1" applyProtection="1">
      <alignment horizontal="center"/>
    </xf>
    <xf numFmtId="1" fontId="15" fillId="0" borderId="6" xfId="0" applyNumberFormat="1" applyFont="1" applyFill="1" applyBorder="1" applyAlignment="1" applyProtection="1">
      <alignment horizontal="center"/>
    </xf>
    <xf numFmtId="1" fontId="15" fillId="0" borderId="13" xfId="0" applyNumberFormat="1" applyFont="1" applyFill="1" applyBorder="1" applyAlignment="1" applyProtection="1">
      <alignment horizontal="center"/>
    </xf>
    <xf numFmtId="0" fontId="21" fillId="0" borderId="13" xfId="0" applyFont="1" applyFill="1" applyBorder="1" applyAlignment="1" applyProtection="1">
      <alignment horizontal="center" vertical="center"/>
    </xf>
    <xf numFmtId="0" fontId="26" fillId="0" borderId="0" xfId="0" applyFont="1" applyFill="1" applyBorder="1" applyAlignment="1" applyProtection="1">
      <alignment horizontal="center"/>
    </xf>
    <xf numFmtId="0" fontId="27" fillId="0" borderId="0" xfId="0" applyFont="1" applyFill="1" applyBorder="1" applyProtection="1"/>
    <xf numFmtId="0" fontId="9" fillId="0" borderId="1" xfId="0" applyFont="1" applyFill="1" applyBorder="1" applyAlignment="1" applyProtection="1"/>
    <xf numFmtId="0" fontId="6" fillId="0" borderId="1" xfId="0" applyFont="1" applyFill="1" applyBorder="1" applyAlignment="1" applyProtection="1"/>
    <xf numFmtId="0" fontId="6" fillId="0" borderId="2" xfId="0" applyFont="1" applyFill="1" applyBorder="1" applyAlignment="1" applyProtection="1"/>
    <xf numFmtId="0" fontId="6" fillId="0" borderId="5" xfId="0" applyFont="1" applyFill="1" applyBorder="1" applyAlignment="1" applyProtection="1"/>
    <xf numFmtId="0" fontId="27" fillId="0" borderId="0" xfId="0" applyFont="1" applyFill="1" applyBorder="1" applyAlignment="1" applyProtection="1">
      <alignment horizontal="center"/>
    </xf>
    <xf numFmtId="0" fontId="29" fillId="0" borderId="0" xfId="0" applyFont="1" applyFill="1" applyBorder="1" applyAlignment="1" applyProtection="1">
      <alignment horizontal="center"/>
    </xf>
    <xf numFmtId="0" fontId="6" fillId="0" borderId="6" xfId="0" applyFont="1" applyFill="1" applyBorder="1" applyAlignment="1" applyProtection="1"/>
    <xf numFmtId="0" fontId="6" fillId="0" borderId="4" xfId="0" applyFont="1" applyFill="1" applyBorder="1" applyAlignment="1" applyProtection="1"/>
    <xf numFmtId="0" fontId="6" fillId="0" borderId="3" xfId="0" applyFont="1" applyFill="1" applyBorder="1" applyAlignment="1" applyProtection="1"/>
    <xf numFmtId="0" fontId="27" fillId="0" borderId="0" xfId="0" applyFont="1" applyFill="1" applyBorder="1" applyProtection="1">
      <protection locked="0"/>
    </xf>
    <xf numFmtId="2" fontId="27" fillId="0" borderId="0" xfId="0" applyNumberFormat="1" applyFont="1" applyFill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0" fontId="29" fillId="0" borderId="0" xfId="0" applyFont="1" applyFill="1" applyBorder="1" applyAlignment="1" applyProtection="1">
      <alignment horizontal="center"/>
      <protection locked="0"/>
    </xf>
    <xf numFmtId="1" fontId="15" fillId="0" borderId="1" xfId="0" applyNumberFormat="1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31" fillId="0" borderId="0" xfId="0" applyFont="1" applyFill="1" applyBorder="1" applyAlignment="1" applyProtection="1">
      <alignment horizontal="left"/>
      <protection locked="0"/>
    </xf>
    <xf numFmtId="0" fontId="31" fillId="0" borderId="0" xfId="0" applyFont="1" applyFill="1" applyBorder="1" applyAlignment="1" applyProtection="1">
      <protection locked="0"/>
    </xf>
    <xf numFmtId="0" fontId="6" fillId="0" borderId="7" xfId="0" applyFont="1" applyFill="1" applyBorder="1" applyProtection="1">
      <protection locked="0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1" fontId="15" fillId="0" borderId="1" xfId="0" applyNumberFormat="1" applyFont="1" applyFill="1" applyBorder="1" applyAlignment="1" applyProtection="1">
      <alignment horizontal="center"/>
    </xf>
    <xf numFmtId="0" fontId="15" fillId="0" borderId="2" xfId="0" applyFont="1" applyFill="1" applyBorder="1" applyAlignment="1" applyProtection="1">
      <alignment horizontal="center"/>
    </xf>
    <xf numFmtId="1" fontId="15" fillId="0" borderId="2" xfId="0" applyNumberFormat="1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0" fontId="21" fillId="0" borderId="14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/>
    </xf>
    <xf numFmtId="1" fontId="15" fillId="0" borderId="14" xfId="0" applyNumberFormat="1" applyFont="1" applyFill="1" applyBorder="1" applyAlignment="1" applyProtection="1">
      <alignment horizontal="center"/>
    </xf>
    <xf numFmtId="2" fontId="11" fillId="0" borderId="15" xfId="0" applyNumberFormat="1" applyFont="1" applyFill="1" applyBorder="1" applyAlignment="1" applyProtection="1"/>
    <xf numFmtId="1" fontId="15" fillId="0" borderId="11" xfId="0" applyNumberFormat="1" applyFont="1" applyFill="1" applyBorder="1" applyAlignment="1" applyProtection="1">
      <alignment horizontal="center"/>
    </xf>
    <xf numFmtId="0" fontId="15" fillId="0" borderId="2" xfId="0" applyFont="1" applyFill="1" applyBorder="1" applyAlignment="1" applyProtection="1">
      <alignment horizontal="center"/>
      <protection locked="0"/>
    </xf>
    <xf numFmtId="0" fontId="15" fillId="0" borderId="2" xfId="1" applyNumberFormat="1" applyFont="1" applyFill="1" applyBorder="1" applyAlignment="1" applyProtection="1">
      <alignment horizontal="center"/>
      <protection locked="0"/>
    </xf>
    <xf numFmtId="0" fontId="15" fillId="0" borderId="11" xfId="0" applyFont="1" applyFill="1" applyBorder="1" applyAlignment="1" applyProtection="1">
      <alignment horizontal="center"/>
      <protection locked="0"/>
    </xf>
    <xf numFmtId="0" fontId="16" fillId="0" borderId="0" xfId="0" applyFont="1" applyFill="1" applyBorder="1" applyAlignment="1" applyProtection="1">
      <alignment vertical="center"/>
      <protection locked="0"/>
    </xf>
    <xf numFmtId="0" fontId="15" fillId="0" borderId="15" xfId="0" applyFont="1" applyFill="1" applyBorder="1" applyAlignment="1" applyProtection="1">
      <alignment horizontal="center"/>
      <protection locked="0"/>
    </xf>
    <xf numFmtId="0" fontId="16" fillId="0" borderId="1" xfId="0" applyFont="1" applyFill="1" applyBorder="1" applyAlignment="1" applyProtection="1">
      <alignment vertical="center"/>
      <protection locked="0"/>
    </xf>
    <xf numFmtId="0" fontId="6" fillId="0" borderId="1" xfId="0" applyFont="1" applyFill="1" applyBorder="1" applyAlignment="1" applyProtection="1">
      <alignment horizontal="center"/>
    </xf>
    <xf numFmtId="0" fontId="13" fillId="0" borderId="4" xfId="0" applyFont="1" applyFill="1" applyBorder="1" applyAlignment="1" applyProtection="1"/>
    <xf numFmtId="0" fontId="13" fillId="0" borderId="3" xfId="0" applyFont="1" applyFill="1" applyBorder="1" applyAlignment="1" applyProtection="1"/>
    <xf numFmtId="0" fontId="21" fillId="0" borderId="1" xfId="0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0" fontId="9" fillId="0" borderId="3" xfId="0" applyFont="1" applyFill="1" applyBorder="1" applyAlignment="1" applyProtection="1">
      <alignment horizont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6" fillId="0" borderId="8" xfId="0" applyFont="1" applyFill="1" applyBorder="1" applyAlignment="1" applyProtection="1">
      <alignment horizontal="center" vertical="center" wrapText="1"/>
      <protection locked="0"/>
    </xf>
    <xf numFmtId="0" fontId="6" fillId="0" borderId="9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Fill="1" applyBorder="1" applyAlignment="1" applyProtection="1">
      <alignment horizontal="center" vertical="center" wrapText="1"/>
      <protection locked="0"/>
    </xf>
    <xf numFmtId="2" fontId="11" fillId="0" borderId="6" xfId="0" applyNumberFormat="1" applyFont="1" applyFill="1" applyBorder="1" applyAlignment="1" applyProtection="1">
      <alignment horizontal="center" vertical="center"/>
      <protection locked="0"/>
    </xf>
    <xf numFmtId="2" fontId="11" fillId="0" borderId="7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30" fillId="0" borderId="1" xfId="0" applyFont="1" applyFill="1" applyBorder="1" applyAlignment="1" applyProtection="1">
      <alignment horizontal="center" vertical="center"/>
      <protection locked="0"/>
    </xf>
    <xf numFmtId="1" fontId="15" fillId="0" borderId="1" xfId="0" applyNumberFormat="1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/>
    </xf>
    <xf numFmtId="1" fontId="9" fillId="0" borderId="3" xfId="0" applyNumberFormat="1" applyFont="1" applyFill="1" applyBorder="1" applyAlignment="1" applyProtection="1">
      <alignment horizontal="center"/>
    </xf>
    <xf numFmtId="1" fontId="9" fillId="0" borderId="1" xfId="0" applyNumberFormat="1" applyFont="1" applyFill="1" applyBorder="1" applyAlignment="1" applyProtection="1">
      <alignment horizontal="center"/>
    </xf>
    <xf numFmtId="1" fontId="9" fillId="0" borderId="3" xfId="0" applyNumberFormat="1" applyFont="1" applyFill="1" applyBorder="1" applyAlignment="1" applyProtection="1">
      <alignment horizontal="center"/>
      <protection locked="0"/>
    </xf>
    <xf numFmtId="1" fontId="9" fillId="0" borderId="1" xfId="0" applyNumberFormat="1" applyFont="1" applyFill="1" applyBorder="1" applyAlignment="1" applyProtection="1">
      <alignment horizontal="center"/>
      <protection locked="0"/>
    </xf>
    <xf numFmtId="0" fontId="15" fillId="0" borderId="1" xfId="0" applyFont="1" applyFill="1" applyBorder="1" applyAlignment="1" applyProtection="1">
      <alignment horizontal="center"/>
    </xf>
    <xf numFmtId="0" fontId="15" fillId="0" borderId="2" xfId="0" applyFont="1" applyFill="1" applyBorder="1" applyAlignment="1" applyProtection="1">
      <alignment horizontal="center"/>
    </xf>
    <xf numFmtId="0" fontId="15" fillId="0" borderId="3" xfId="0" applyFont="1" applyFill="1" applyBorder="1" applyAlignment="1" applyProtection="1">
      <alignment horizontal="center"/>
    </xf>
    <xf numFmtId="2" fontId="9" fillId="0" borderId="1" xfId="0" applyNumberFormat="1" applyFont="1" applyFill="1" applyBorder="1" applyAlignment="1" applyProtection="1">
      <alignment horizontal="center"/>
    </xf>
    <xf numFmtId="2" fontId="8" fillId="0" borderId="1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8" fillId="0" borderId="1" xfId="0" applyFont="1" applyFill="1" applyBorder="1" applyAlignment="1" applyProtection="1">
      <alignment horizontal="left" vertical="center" wrapText="1"/>
    </xf>
    <xf numFmtId="0" fontId="21" fillId="0" borderId="1" xfId="0" applyFont="1" applyFill="1" applyBorder="1" applyAlignment="1" applyProtection="1">
      <alignment horizontal="center" vertical="center" wrapText="1"/>
    </xf>
    <xf numFmtId="0" fontId="21" fillId="0" borderId="1" xfId="0" applyFont="1" applyFill="1" applyBorder="1" applyAlignment="1" applyProtection="1">
      <alignment horizontal="center" vertical="center"/>
    </xf>
    <xf numFmtId="0" fontId="13" fillId="0" borderId="2" xfId="0" applyFont="1" applyFill="1" applyBorder="1" applyAlignment="1" applyProtection="1">
      <alignment horizontal="left"/>
    </xf>
    <xf numFmtId="0" fontId="13" fillId="0" borderId="4" xfId="0" applyFont="1" applyFill="1" applyBorder="1" applyAlignment="1" applyProtection="1">
      <alignment horizontal="left"/>
    </xf>
    <xf numFmtId="0" fontId="13" fillId="0" borderId="3" xfId="0" applyFont="1" applyFill="1" applyBorder="1" applyAlignment="1" applyProtection="1">
      <alignment horizontal="left"/>
    </xf>
    <xf numFmtId="0" fontId="23" fillId="0" borderId="0" xfId="0" applyFont="1" applyFill="1" applyBorder="1" applyAlignment="1" applyProtection="1">
      <alignment horizontal="center"/>
      <protection locked="0"/>
    </xf>
    <xf numFmtId="0" fontId="24" fillId="0" borderId="0" xfId="0" applyFont="1" applyFill="1" applyBorder="1" applyAlignment="1" applyProtection="1">
      <alignment horizontal="center"/>
      <protection locked="0"/>
    </xf>
    <xf numFmtId="0" fontId="11" fillId="0" borderId="1" xfId="0" applyFont="1" applyFill="1" applyBorder="1" applyAlignment="1" applyProtection="1">
      <alignment horizontal="left" vertical="center" wrapText="1"/>
    </xf>
    <xf numFmtId="0" fontId="21" fillId="0" borderId="2" xfId="0" applyFont="1" applyFill="1" applyBorder="1" applyAlignment="1" applyProtection="1">
      <alignment horizontal="center" vertical="center" wrapText="1"/>
    </xf>
    <xf numFmtId="0" fontId="21" fillId="0" borderId="4" xfId="0" applyFont="1" applyFill="1" applyBorder="1" applyAlignment="1" applyProtection="1">
      <alignment horizontal="center" vertical="center" wrapText="1"/>
    </xf>
    <xf numFmtId="0" fontId="21" fillId="0" borderId="3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center" vertical="center"/>
    </xf>
    <xf numFmtId="0" fontId="16" fillId="0" borderId="2" xfId="0" applyFont="1" applyFill="1" applyBorder="1" applyAlignment="1" applyProtection="1">
      <alignment horizontal="center" vertical="center"/>
    </xf>
    <xf numFmtId="2" fontId="12" fillId="0" borderId="1" xfId="0" applyNumberFormat="1" applyFont="1" applyFill="1" applyBorder="1" applyAlignment="1" applyProtection="1">
      <alignment horizontal="center"/>
    </xf>
    <xf numFmtId="2" fontId="11" fillId="0" borderId="1" xfId="0" applyNumberFormat="1" applyFont="1" applyFill="1" applyBorder="1" applyAlignment="1" applyProtection="1">
      <alignment horizontal="center"/>
    </xf>
    <xf numFmtId="0" fontId="9" fillId="0" borderId="6" xfId="0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1" fontId="9" fillId="0" borderId="7" xfId="0" applyNumberFormat="1" applyFont="1" applyFill="1" applyBorder="1" applyAlignment="1" applyProtection="1">
      <alignment horizontal="center"/>
    </xf>
    <xf numFmtId="0" fontId="22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2" fontId="14" fillId="0" borderId="6" xfId="0" applyNumberFormat="1" applyFont="1" applyFill="1" applyBorder="1" applyAlignment="1" applyProtection="1">
      <alignment horizontal="center" vertical="center"/>
      <protection locked="0"/>
    </xf>
    <xf numFmtId="2" fontId="14" fillId="0" borderId="7" xfId="0" applyNumberFormat="1" applyFont="1" applyFill="1" applyBorder="1" applyAlignment="1" applyProtection="1">
      <alignment horizontal="center" vertical="center"/>
      <protection locked="0"/>
    </xf>
    <xf numFmtId="0" fontId="20" fillId="0" borderId="1" xfId="0" applyFont="1" applyFill="1" applyBorder="1" applyAlignment="1" applyProtection="1">
      <alignment horizontal="center" vertical="center"/>
      <protection locked="0"/>
    </xf>
    <xf numFmtId="1" fontId="15" fillId="0" borderId="2" xfId="0" applyNumberFormat="1" applyFont="1" applyFill="1" applyBorder="1" applyAlignment="1" applyProtection="1">
      <alignment horizontal="center"/>
    </xf>
    <xf numFmtId="0" fontId="9" fillId="0" borderId="2" xfId="0" applyFont="1" applyFill="1" applyBorder="1" applyAlignment="1" applyProtection="1">
      <alignment horizontal="center"/>
    </xf>
    <xf numFmtId="0" fontId="13" fillId="0" borderId="11" xfId="0" applyFont="1" applyFill="1" applyBorder="1" applyAlignment="1" applyProtection="1">
      <alignment horizontal="left"/>
    </xf>
    <xf numFmtId="0" fontId="13" fillId="0" borderId="10" xfId="0" applyFont="1" applyFill="1" applyBorder="1" applyAlignment="1" applyProtection="1">
      <alignment horizontal="left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0" fontId="16" fillId="0" borderId="3" xfId="0" applyFont="1" applyFill="1" applyBorder="1" applyAlignment="1" applyProtection="1">
      <alignment horizontal="center" vertical="center"/>
      <protection locked="0"/>
    </xf>
    <xf numFmtId="0" fontId="16" fillId="0" borderId="1" xfId="0" applyFont="1" applyFill="1" applyBorder="1" applyAlignment="1" applyProtection="1">
      <alignment horizontal="center" vertical="center"/>
      <protection locked="0"/>
    </xf>
    <xf numFmtId="2" fontId="14" fillId="0" borderId="1" xfId="0" applyNumberFormat="1" applyFont="1" applyFill="1" applyBorder="1" applyAlignment="1" applyProtection="1">
      <alignment horizontal="center"/>
    </xf>
    <xf numFmtId="0" fontId="16" fillId="0" borderId="4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06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B8C-4353-955F-BAF9B81BAA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B8C-4353-955F-BAF9B81BAA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B8C-4353-955F-BAF9B81BAA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B8C-4353-955F-BAF9B81BAA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No. of Passed with FCD</c:v>
              </c:pt>
              <c:pt idx="1">
                <c:v>No. of Passed with FC</c:v>
              </c:pt>
              <c:pt idx="2">
                <c:v>No. of Passed with SC</c:v>
              </c:pt>
              <c:pt idx="3">
                <c:v>No. of Students Failed </c:v>
              </c:pt>
            </c:strLit>
          </c:cat>
          <c:val>
            <c:numLit>
              <c:formatCode>General</c:formatCode>
              <c:ptCount val="4"/>
              <c:pt idx="0">
                <c:v>23</c:v>
              </c:pt>
              <c:pt idx="1">
                <c:v>19</c:v>
              </c:pt>
              <c:pt idx="2">
                <c:v>0</c:v>
              </c:pt>
              <c:pt idx="3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0-53E8-4024-ADE6-7E9A619FF3F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B8C-4353-955F-BAF9B81BAA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B8C-4353-955F-BAF9B81BAA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CB8C-4353-955F-BAF9B81BAA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CB8C-4353-955F-BAF9B81BAA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No. of Passed with FCD</c:v>
              </c:pt>
              <c:pt idx="1">
                <c:v>No. of Passed with FC</c:v>
              </c:pt>
              <c:pt idx="2">
                <c:v>No. of Passed with SC</c:v>
              </c:pt>
              <c:pt idx="3">
                <c:v>No. of Students Failed </c:v>
              </c:pt>
            </c:strLit>
          </c:cat>
          <c:val>
            <c:numLit>
              <c:formatCode>General</c:formatCode>
              <c:ptCount val="4"/>
            </c:numLit>
          </c:val>
          <c:extLst>
            <c:ext xmlns:c16="http://schemas.microsoft.com/office/drawing/2014/chart" uri="{C3380CC4-5D6E-409C-BE32-E72D297353CC}">
              <c16:uniqueId val="{00000001-53E8-4024-ADE6-7E9A619FF3FD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CB8C-4353-955F-BAF9B81BAA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CB8C-4353-955F-BAF9B81BAA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CB8C-4353-955F-BAF9B81BAA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CB8C-4353-955F-BAF9B81BAA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No. of Passed with FCD</c:v>
              </c:pt>
              <c:pt idx="1">
                <c:v>No. of Passed with FC</c:v>
              </c:pt>
              <c:pt idx="2">
                <c:v>No. of Passed with SC</c:v>
              </c:pt>
              <c:pt idx="3">
                <c:v>No. of Students Failed </c:v>
              </c:pt>
            </c:strLit>
          </c:cat>
          <c:val>
            <c:numLit>
              <c:formatCode>General</c:formatCode>
              <c:ptCount val="4"/>
            </c:numLit>
          </c:val>
          <c:extLst>
            <c:ext xmlns:c16="http://schemas.microsoft.com/office/drawing/2014/chart" uri="{C3380CC4-5D6E-409C-BE32-E72D297353CC}">
              <c16:uniqueId val="{00000002-53E8-4024-ADE6-7E9A619FF3F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B8C-4353-955F-BAF9B81BAA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B8C-4353-955F-BAF9B81BAA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B8C-4353-955F-BAF9B81BAA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B8C-4353-955F-BAF9B81BAA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No. of Passed with FCD</c:v>
              </c:pt>
              <c:pt idx="1">
                <c:v>No. of Passed with FC</c:v>
              </c:pt>
              <c:pt idx="2">
                <c:v>No. of Passed with SC</c:v>
              </c:pt>
              <c:pt idx="3">
                <c:v>No. of Students Failed </c:v>
              </c:pt>
            </c:strLit>
          </c:cat>
          <c:val>
            <c:numLit>
              <c:formatCode>General</c:formatCode>
              <c:ptCount val="4"/>
              <c:pt idx="0">
                <c:v>23</c:v>
              </c:pt>
              <c:pt idx="1">
                <c:v>19</c:v>
              </c:pt>
              <c:pt idx="2">
                <c:v>0</c:v>
              </c:pt>
              <c:pt idx="3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0-53E8-4024-ADE6-7E9A619FF3F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B8C-4353-955F-BAF9B81BAA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B8C-4353-955F-BAF9B81BAA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CB8C-4353-955F-BAF9B81BAA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CB8C-4353-955F-BAF9B81BAA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No. of Passed with FCD</c:v>
              </c:pt>
              <c:pt idx="1">
                <c:v>No. of Passed with FC</c:v>
              </c:pt>
              <c:pt idx="2">
                <c:v>No. of Passed with SC</c:v>
              </c:pt>
              <c:pt idx="3">
                <c:v>No. of Students Failed </c:v>
              </c:pt>
            </c:strLit>
          </c:cat>
          <c:val>
            <c:numLit>
              <c:formatCode>General</c:formatCode>
              <c:ptCount val="4"/>
            </c:numLit>
          </c:val>
          <c:extLst>
            <c:ext xmlns:c16="http://schemas.microsoft.com/office/drawing/2014/chart" uri="{C3380CC4-5D6E-409C-BE32-E72D297353CC}">
              <c16:uniqueId val="{00000001-53E8-4024-ADE6-7E9A619FF3FD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CB8C-4353-955F-BAF9B81BAA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CB8C-4353-955F-BAF9B81BAA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CB8C-4353-955F-BAF9B81BAA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CB8C-4353-955F-BAF9B81BAA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No. of Passed with FCD</c:v>
              </c:pt>
              <c:pt idx="1">
                <c:v>No. of Passed with FC</c:v>
              </c:pt>
              <c:pt idx="2">
                <c:v>No. of Passed with SC</c:v>
              </c:pt>
              <c:pt idx="3">
                <c:v>No. of Students Failed </c:v>
              </c:pt>
            </c:strLit>
          </c:cat>
          <c:val>
            <c:numLit>
              <c:formatCode>General</c:formatCode>
              <c:ptCount val="4"/>
            </c:numLit>
          </c:val>
          <c:extLst>
            <c:ext xmlns:c16="http://schemas.microsoft.com/office/drawing/2014/chart" uri="{C3380CC4-5D6E-409C-BE32-E72D297353CC}">
              <c16:uniqueId val="{00000002-53E8-4024-ADE6-7E9A619FF3F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5734002310176872E-3"/>
          <c:y val="0.12825752346209926"/>
          <c:w val="0.70109980346944012"/>
          <c:h val="0.73136626686141881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i="0" baseline="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'3'!$A$20:$B$23</c:f>
              <c:strCache>
                <c:ptCount val="4"/>
                <c:pt idx="0">
                  <c:v>No. of Passed with FCD</c:v>
                </c:pt>
                <c:pt idx="1">
                  <c:v>No. of Passed with FC</c:v>
                </c:pt>
                <c:pt idx="2">
                  <c:v>No. of Passed with SC</c:v>
                </c:pt>
                <c:pt idx="3">
                  <c:v>No. of Students Failed </c:v>
                </c:pt>
              </c:strCache>
            </c:strRef>
          </c:cat>
          <c:val>
            <c:numRef>
              <c:f>'3'!$E$20:$E$23</c:f>
              <c:numCache>
                <c:formatCode>General</c:formatCode>
                <c:ptCount val="4"/>
                <c:pt idx="0">
                  <c:v>26</c:v>
                </c:pt>
                <c:pt idx="1">
                  <c:v>3</c:v>
                </c:pt>
                <c:pt idx="2">
                  <c:v>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F-4C21-AD1D-5F755BB27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egendEntry>
        <c:idx val="0"/>
        <c:txPr>
          <a:bodyPr/>
          <a:lstStyle/>
          <a:p>
            <a:pPr rtl="0">
              <a:defRPr b="0"/>
            </a:pPr>
            <a:endParaRPr lang="en-US"/>
          </a:p>
        </c:txPr>
      </c:legendEntry>
      <c:layout>
        <c:manualLayout>
          <c:xMode val="edge"/>
          <c:yMode val="edge"/>
          <c:x val="0.69814817007712993"/>
          <c:y val="0.2138636717811099"/>
          <c:w val="0.28893641719442603"/>
          <c:h val="0.4146268474824138"/>
        </c:manualLayout>
      </c:layout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E6D-4EC7-8BE3-8E8C0B1475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E6D-4EC7-8BE3-8E8C0B1475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752-4BE2-869A-683EA575FF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E6D-4EC7-8BE3-8E8C0B1475F1}"/>
              </c:ext>
            </c:extLst>
          </c:dPt>
          <c:dLbls>
            <c:dLbl>
              <c:idx val="2"/>
              <c:layout>
                <c:manualLayout>
                  <c:x val="-5.1460810890244436E-2"/>
                  <c:y val="-0.1991366378562707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52-4BE2-869A-683EA575FF1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'4'!$A$20:$A$23</c:f>
              <c:strCache>
                <c:ptCount val="4"/>
                <c:pt idx="0">
                  <c:v>No. of Passed with FCD</c:v>
                </c:pt>
                <c:pt idx="1">
                  <c:v>No. of Passed with FC</c:v>
                </c:pt>
                <c:pt idx="2">
                  <c:v>No. of Passed with SC</c:v>
                </c:pt>
                <c:pt idx="3">
                  <c:v>No. of Students Failed </c:v>
                </c:pt>
              </c:strCache>
            </c:strRef>
          </c:cat>
          <c:val>
            <c:numRef>
              <c:f>'4'!$E$20:$E$23</c:f>
              <c:numCache>
                <c:formatCode>General</c:formatCode>
                <c:ptCount val="4"/>
                <c:pt idx="0">
                  <c:v>26</c:v>
                </c:pt>
                <c:pt idx="1">
                  <c:v>3</c:v>
                </c:pt>
                <c:pt idx="2">
                  <c:v>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2-4BE2-869A-683EA575FF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139700</xdr:colOff>
      <xdr:row>0</xdr:row>
      <xdr:rowOff>866775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6" r="2557"/>
        <a:stretch/>
      </xdr:blipFill>
      <xdr:spPr>
        <a:xfrm>
          <a:off x="0" y="0"/>
          <a:ext cx="9436100" cy="863600"/>
        </a:xfrm>
        <a:prstGeom prst="rect">
          <a:avLst/>
        </a:prstGeom>
      </xdr:spPr>
    </xdr:pic>
    <xdr:clientData/>
  </xdr:twoCellAnchor>
  <xdr:twoCellAnchor>
    <xdr:from>
      <xdr:col>11</xdr:col>
      <xdr:colOff>4233</xdr:colOff>
      <xdr:row>3</xdr:row>
      <xdr:rowOff>24191</xdr:rowOff>
    </xdr:from>
    <xdr:to>
      <xdr:col>22</xdr:col>
      <xdr:colOff>234042</xdr:colOff>
      <xdr:row>12</xdr:row>
      <xdr:rowOff>189168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22</xdr:col>
      <xdr:colOff>266700</xdr:colOff>
      <xdr:row>1</xdr:row>
      <xdr:rowOff>19050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6" r="2557"/>
        <a:stretch/>
      </xdr:blipFill>
      <xdr:spPr>
        <a:xfrm>
          <a:off x="0" y="95250"/>
          <a:ext cx="9144000" cy="838200"/>
        </a:xfrm>
        <a:prstGeom prst="rect">
          <a:avLst/>
        </a:prstGeom>
      </xdr:spPr>
    </xdr:pic>
    <xdr:clientData/>
  </xdr:twoCellAnchor>
  <xdr:twoCellAnchor>
    <xdr:from>
      <xdr:col>11</xdr:col>
      <xdr:colOff>4233</xdr:colOff>
      <xdr:row>3</xdr:row>
      <xdr:rowOff>24191</xdr:rowOff>
    </xdr:from>
    <xdr:to>
      <xdr:col>22</xdr:col>
      <xdr:colOff>234042</xdr:colOff>
      <xdr:row>12</xdr:row>
      <xdr:rowOff>189168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143936</xdr:colOff>
      <xdr:row>0</xdr:row>
      <xdr:rowOff>42334</xdr:rowOff>
    </xdr:from>
    <xdr:to>
      <xdr:col>25</xdr:col>
      <xdr:colOff>130025</xdr:colOff>
      <xdr:row>1</xdr:row>
      <xdr:rowOff>64140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6" r="2557"/>
        <a:stretch/>
      </xdr:blipFill>
      <xdr:spPr>
        <a:xfrm>
          <a:off x="423336" y="42334"/>
          <a:ext cx="9347198" cy="978539"/>
        </a:xfrm>
        <a:prstGeom prst="rect">
          <a:avLst/>
        </a:prstGeom>
      </xdr:spPr>
    </xdr:pic>
    <xdr:clientData/>
  </xdr:twoCellAnchor>
  <xdr:twoCellAnchor>
    <xdr:from>
      <xdr:col>11</xdr:col>
      <xdr:colOff>13608</xdr:colOff>
      <xdr:row>3</xdr:row>
      <xdr:rowOff>0</xdr:rowOff>
    </xdr:from>
    <xdr:to>
      <xdr:col>25</xdr:col>
      <xdr:colOff>244930</xdr:colOff>
      <xdr:row>13</xdr:row>
      <xdr:rowOff>129269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62899</xdr:colOff>
      <xdr:row>0</xdr:row>
      <xdr:rowOff>1</xdr:rowOff>
    </xdr:from>
    <xdr:to>
      <xdr:col>23</xdr:col>
      <xdr:colOff>409422</xdr:colOff>
      <xdr:row>0</xdr:row>
      <xdr:rowOff>768358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6" r="2557"/>
        <a:stretch/>
      </xdr:blipFill>
      <xdr:spPr>
        <a:xfrm>
          <a:off x="353185" y="1"/>
          <a:ext cx="8262856" cy="768357"/>
        </a:xfrm>
        <a:prstGeom prst="rect">
          <a:avLst/>
        </a:prstGeom>
      </xdr:spPr>
    </xdr:pic>
    <xdr:clientData/>
  </xdr:twoCellAnchor>
  <xdr:twoCellAnchor>
    <xdr:from>
      <xdr:col>10</xdr:col>
      <xdr:colOff>175382</xdr:colOff>
      <xdr:row>3</xdr:row>
      <xdr:rowOff>24190</xdr:rowOff>
    </xdr:from>
    <xdr:to>
      <xdr:col>23</xdr:col>
      <xdr:colOff>444501</xdr:colOff>
      <xdr:row>13</xdr:row>
      <xdr:rowOff>59264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0"/>
  <sheetViews>
    <sheetView view="pageLayout" topLeftCell="A58" zoomScale="80" zoomScaleNormal="100" zoomScalePageLayoutView="80" workbookViewId="0">
      <selection activeCell="H16" sqref="H16:I16"/>
    </sheetView>
  </sheetViews>
  <sheetFormatPr defaultColWidth="9.3046875" defaultRowHeight="14.6" x14ac:dyDescent="0.4"/>
  <cols>
    <col min="1" max="1" width="4" style="1" customWidth="1"/>
    <col min="2" max="2" width="12.3046875" style="1" customWidth="1"/>
    <col min="3" max="3" width="24.765625" style="1" customWidth="1"/>
    <col min="4" max="4" width="7.84375" style="1" customWidth="1"/>
    <col min="5" max="5" width="6.23046875" style="1" customWidth="1"/>
    <col min="6" max="6" width="5.84375" style="1" customWidth="1"/>
    <col min="7" max="7" width="1.3046875" style="1" customWidth="1"/>
    <col min="8" max="8" width="4.765625" style="3" customWidth="1"/>
    <col min="9" max="10" width="4.23046875" style="3" customWidth="1"/>
    <col min="11" max="11" width="4.07421875" style="3" customWidth="1"/>
    <col min="12" max="12" width="4.23046875" style="3" customWidth="1"/>
    <col min="13" max="13" width="4.3046875" style="3" customWidth="1"/>
    <col min="14" max="14" width="5" style="3" customWidth="1"/>
    <col min="15" max="16" width="4.3046875" style="3" customWidth="1"/>
    <col min="17" max="17" width="5.07421875" style="3" customWidth="1"/>
    <col min="18" max="18" width="4.84375" style="3" customWidth="1"/>
    <col min="19" max="19" width="4.4609375" style="3" customWidth="1"/>
    <col min="20" max="20" width="4.53515625" style="3" customWidth="1"/>
    <col min="21" max="21" width="4.23046875" style="3" customWidth="1"/>
    <col min="22" max="22" width="4.4609375" style="3" customWidth="1"/>
    <col min="23" max="23" width="4.07421875" style="3" customWidth="1"/>
    <col min="24" max="24" width="7.4609375" style="1" hidden="1" customWidth="1"/>
    <col min="25" max="16384" width="9.3046875" style="1"/>
  </cols>
  <sheetData>
    <row r="1" spans="1:23" ht="69" customHeight="1" x14ac:dyDescent="0.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</row>
    <row r="2" spans="1:23" ht="25.75" x14ac:dyDescent="0.7">
      <c r="A2" s="143" t="s">
        <v>45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</row>
    <row r="3" spans="1:23" ht="19.75" x14ac:dyDescent="0.45">
      <c r="A3" s="144" t="s">
        <v>0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</row>
    <row r="4" spans="1:23" s="77" customFormat="1" ht="20.6" x14ac:dyDescent="0.5500000000000000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s="15" customFormat="1" ht="15" x14ac:dyDescent="0.35">
      <c r="A5" s="16" t="s">
        <v>1</v>
      </c>
      <c r="B5" s="16" t="s">
        <v>2</v>
      </c>
      <c r="C5" s="17" t="s">
        <v>3</v>
      </c>
      <c r="D5" s="17"/>
      <c r="F5" s="6" t="s">
        <v>4</v>
      </c>
      <c r="G5" s="16"/>
      <c r="H5" s="18"/>
      <c r="I5" s="16"/>
      <c r="J5" s="16"/>
      <c r="K5" s="18"/>
      <c r="L5" s="18"/>
      <c r="M5" s="68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3" s="15" customFormat="1" ht="17.600000000000001" x14ac:dyDescent="0.4">
      <c r="A6" s="68">
        <f>IF(B6&lt;&gt;"",COUNTA($B6:B$6),"")</f>
        <v>1</v>
      </c>
      <c r="B6" s="4" t="s">
        <v>28</v>
      </c>
      <c r="C6" s="5" t="s">
        <v>29</v>
      </c>
      <c r="D6" s="20"/>
      <c r="E6" s="20"/>
      <c r="F6" s="20"/>
      <c r="G6" s="20"/>
      <c r="H6" s="20"/>
      <c r="I6" s="20"/>
      <c r="J6" s="20"/>
      <c r="K6" s="20"/>
      <c r="L6" s="21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s="15" customFormat="1" ht="17.600000000000001" x14ac:dyDescent="0.4">
      <c r="A7" s="68">
        <f>IF(B7&lt;&gt;"",COUNTA($B$6:B7),"")</f>
        <v>2</v>
      </c>
      <c r="B7" s="4" t="s">
        <v>30</v>
      </c>
      <c r="C7" s="5" t="s">
        <v>31</v>
      </c>
      <c r="D7" s="20"/>
      <c r="E7" s="20"/>
      <c r="F7" s="20"/>
      <c r="G7" s="20"/>
      <c r="H7" s="20"/>
      <c r="I7" s="20"/>
      <c r="J7" s="20"/>
      <c r="K7" s="20"/>
      <c r="L7" s="21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s="15" customFormat="1" ht="17.600000000000001" x14ac:dyDescent="0.4">
      <c r="A8" s="68">
        <f>IF(B8&lt;&gt;"",COUNTA($B$6:B8),"")</f>
        <v>3</v>
      </c>
      <c r="B8" s="4" t="s">
        <v>32</v>
      </c>
      <c r="C8" s="5" t="s">
        <v>33</v>
      </c>
      <c r="D8" s="20"/>
      <c r="E8" s="20"/>
      <c r="F8" s="20"/>
      <c r="G8" s="20"/>
      <c r="H8" s="20"/>
      <c r="I8" s="20"/>
      <c r="J8" s="20"/>
      <c r="K8" s="20"/>
      <c r="L8" s="21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s="15" customFormat="1" ht="17.600000000000001" x14ac:dyDescent="0.4">
      <c r="A9" s="68">
        <f>IF(B9&lt;&gt;"",COUNTA($B$6:B9),"")</f>
        <v>4</v>
      </c>
      <c r="B9" s="4" t="s">
        <v>34</v>
      </c>
      <c r="C9" s="5" t="s">
        <v>35</v>
      </c>
      <c r="D9" s="20"/>
      <c r="E9" s="20"/>
      <c r="F9" s="20"/>
      <c r="G9" s="20"/>
      <c r="H9" s="20"/>
      <c r="I9" s="20"/>
      <c r="J9" s="20"/>
      <c r="K9" s="20"/>
      <c r="L9" s="21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1:23" s="15" customFormat="1" ht="17.600000000000001" x14ac:dyDescent="0.4">
      <c r="A10" s="68">
        <f>IF(B10&lt;&gt;"",COUNTA($B$6:B10),"")</f>
        <v>5</v>
      </c>
      <c r="B10" s="4" t="s">
        <v>36</v>
      </c>
      <c r="C10" s="5" t="s">
        <v>37</v>
      </c>
      <c r="D10" s="20"/>
      <c r="E10" s="20"/>
      <c r="F10" s="20"/>
      <c r="G10" s="20"/>
      <c r="H10" s="20"/>
      <c r="I10" s="20"/>
      <c r="J10" s="20"/>
      <c r="K10" s="20"/>
      <c r="L10" s="21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s="15" customFormat="1" ht="17.600000000000001" x14ac:dyDescent="0.4">
      <c r="A11" s="68">
        <f>IF(B11&lt;&gt;"",COUNTA($B$6:B11),"")</f>
        <v>6</v>
      </c>
      <c r="B11" s="4" t="s">
        <v>38</v>
      </c>
      <c r="C11" s="5" t="s">
        <v>39</v>
      </c>
      <c r="D11" s="20"/>
      <c r="E11" s="20"/>
      <c r="F11" s="20"/>
      <c r="G11" s="20"/>
      <c r="H11" s="20"/>
      <c r="I11" s="20"/>
      <c r="J11" s="20"/>
      <c r="K11" s="20"/>
      <c r="L11" s="21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s="15" customFormat="1" ht="17.600000000000001" x14ac:dyDescent="0.4">
      <c r="A12" s="68">
        <f>IF(B12&lt;&gt;"",COUNTA($B$6:B12),"")</f>
        <v>7</v>
      </c>
      <c r="B12" s="4" t="s">
        <v>40</v>
      </c>
      <c r="C12" s="5" t="s">
        <v>41</v>
      </c>
      <c r="D12" s="20"/>
      <c r="E12" s="20"/>
      <c r="F12" s="20"/>
      <c r="G12" s="20"/>
      <c r="H12" s="20"/>
      <c r="I12" s="20"/>
      <c r="J12" s="20"/>
      <c r="K12" s="20"/>
      <c r="L12" s="21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s="15" customFormat="1" ht="15" x14ac:dyDescent="0.35">
      <c r="A13" s="68">
        <f>IF(B13&lt;&gt;"",COUNTA($B$6:B13),"")</f>
        <v>8</v>
      </c>
      <c r="B13" s="4" t="s">
        <v>42</v>
      </c>
      <c r="C13" s="5" t="s">
        <v>43</v>
      </c>
      <c r="D13" s="20"/>
      <c r="E13" s="20"/>
      <c r="F13" s="22"/>
      <c r="G13" s="20"/>
      <c r="H13" s="23"/>
      <c r="I13" s="20"/>
      <c r="J13" s="20"/>
      <c r="K13" s="20"/>
      <c r="L13" s="24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s="25" customFormat="1" ht="17.399999999999999" customHeight="1" x14ac:dyDescent="0.4">
      <c r="A14" s="145" t="s">
        <v>5</v>
      </c>
      <c r="B14" s="145"/>
      <c r="C14" s="145"/>
      <c r="D14" s="146" t="s">
        <v>6</v>
      </c>
      <c r="E14" s="146"/>
      <c r="F14" s="146"/>
      <c r="G14" s="12"/>
      <c r="H14" s="147" t="str">
        <f>IF(B6=0,"",B6)</f>
        <v>BMATE101</v>
      </c>
      <c r="I14" s="147"/>
      <c r="J14" s="147" t="str">
        <f>IF(B7=0,"",B7)</f>
        <v>BPHYE102</v>
      </c>
      <c r="K14" s="147"/>
      <c r="L14" s="147" t="str">
        <f>IF(B8=0,"",B8)</f>
        <v>BBEE103</v>
      </c>
      <c r="M14" s="147"/>
      <c r="N14" s="147" t="str">
        <f>IF(B9=0,"",B9)</f>
        <v>BENGK106</v>
      </c>
      <c r="O14" s="147"/>
      <c r="P14" s="147" t="str">
        <f>IF(B10=0,"",B10)</f>
        <v>BKSKK107</v>
      </c>
      <c r="Q14" s="147"/>
      <c r="R14" s="147" t="str">
        <f>IF(B11=0,"",B11)</f>
        <v>BIDTK158</v>
      </c>
      <c r="S14" s="147"/>
      <c r="T14" s="147" t="str">
        <f>IF(B12=0,"",B12)</f>
        <v>BESCK104E</v>
      </c>
      <c r="U14" s="147"/>
      <c r="V14" s="147" t="str">
        <f>IF(B13=0,"",B13)</f>
        <v>BETCK105H</v>
      </c>
      <c r="W14" s="147"/>
    </row>
    <row r="15" spans="1:23" s="15" customFormat="1" ht="14.15" x14ac:dyDescent="0.35">
      <c r="A15" s="78" t="s">
        <v>7</v>
      </c>
      <c r="B15" s="78"/>
      <c r="C15" s="78"/>
      <c r="D15" s="140">
        <f>(D16/D17)*100</f>
        <v>75</v>
      </c>
      <c r="E15" s="140"/>
      <c r="F15" s="140"/>
      <c r="G15" s="26"/>
      <c r="H15" s="141">
        <f>IFERROR((H16/H17)*100,"")</f>
        <v>85.714285714285708</v>
      </c>
      <c r="I15" s="141"/>
      <c r="J15" s="141">
        <f>IFERROR((J16/J17)*100,"")</f>
        <v>85.714285714285708</v>
      </c>
      <c r="K15" s="141"/>
      <c r="L15" s="141">
        <f>IFERROR((L16/L17)*100,"")</f>
        <v>91.071428571428569</v>
      </c>
      <c r="M15" s="141"/>
      <c r="N15" s="141">
        <f>IFERROR((N16/N17)*100,"")</f>
        <v>94.642857142857139</v>
      </c>
      <c r="O15" s="141"/>
      <c r="P15" s="141">
        <f>IFERROR((P16/P17)*100,"")</f>
        <v>96.428571428571431</v>
      </c>
      <c r="Q15" s="141"/>
      <c r="R15" s="141">
        <f>IFERROR((R16/R17)*100,"")</f>
        <v>96.428571428571431</v>
      </c>
      <c r="S15" s="141"/>
      <c r="T15" s="141">
        <f>IFERROR((T16/T17)*100,"")</f>
        <v>85.714285714285708</v>
      </c>
      <c r="U15" s="141"/>
      <c r="V15" s="141">
        <f>IFERROR((V16/V17)*100, "")</f>
        <v>94.642857142857139</v>
      </c>
      <c r="W15" s="141"/>
    </row>
    <row r="16" spans="1:23" s="15" customFormat="1" ht="14.15" x14ac:dyDescent="0.35">
      <c r="A16" s="79" t="s">
        <v>8</v>
      </c>
      <c r="B16" s="79"/>
      <c r="C16" s="79"/>
      <c r="D16" s="132">
        <f>COUNTIF(E35:E234,"PASS")</f>
        <v>42</v>
      </c>
      <c r="E16" s="132"/>
      <c r="F16" s="132"/>
      <c r="G16" s="8"/>
      <c r="H16" s="137">
        <f>COUNTIF(I35:I234,"&gt;=18")</f>
        <v>48</v>
      </c>
      <c r="I16" s="137"/>
      <c r="J16" s="137">
        <f>COUNTIF(K35:K234,"&gt;=18")</f>
        <v>48</v>
      </c>
      <c r="K16" s="137"/>
      <c r="L16" s="137">
        <f>COUNTIF(M35:M234,"&gt;=18")</f>
        <v>51</v>
      </c>
      <c r="M16" s="137"/>
      <c r="N16" s="137">
        <f>COUNTIF(O35:O234,"&gt;=18")</f>
        <v>53</v>
      </c>
      <c r="O16" s="137"/>
      <c r="P16" s="137">
        <f>COUNTIF(Q35:Q234,"&gt;=18")</f>
        <v>54</v>
      </c>
      <c r="Q16" s="137"/>
      <c r="R16" s="137">
        <f>COUNTIF(S35:S234,"&gt;=18")</f>
        <v>54</v>
      </c>
      <c r="S16" s="137"/>
      <c r="T16" s="137">
        <f>COUNTIF(U35:U234,"&gt;=18")</f>
        <v>48</v>
      </c>
      <c r="U16" s="137"/>
      <c r="V16" s="137">
        <f>COUNTIF(W35:W234,"&gt;=18")</f>
        <v>53</v>
      </c>
      <c r="W16" s="137"/>
    </row>
    <row r="17" spans="1:23" s="15" customFormat="1" ht="14.15" x14ac:dyDescent="0.35">
      <c r="A17" s="79" t="s">
        <v>9</v>
      </c>
      <c r="B17" s="79"/>
      <c r="C17" s="79"/>
      <c r="D17" s="132">
        <f>COUNT(D35:D234)</f>
        <v>56</v>
      </c>
      <c r="E17" s="132"/>
      <c r="F17" s="132"/>
      <c r="G17" s="8"/>
      <c r="H17" s="137">
        <f>COUNT(I35:I234)</f>
        <v>56</v>
      </c>
      <c r="I17" s="137"/>
      <c r="J17" s="137">
        <f>COUNT(K35:K234)</f>
        <v>56</v>
      </c>
      <c r="K17" s="137"/>
      <c r="L17" s="137">
        <f>COUNT(M35:M234)</f>
        <v>56</v>
      </c>
      <c r="M17" s="137"/>
      <c r="N17" s="137">
        <f>COUNT(O35:O234)</f>
        <v>56</v>
      </c>
      <c r="O17" s="137"/>
      <c r="P17" s="137">
        <f>COUNT(Q35:Q234)</f>
        <v>56</v>
      </c>
      <c r="Q17" s="137"/>
      <c r="R17" s="137">
        <f>COUNT(S35:S234)</f>
        <v>56</v>
      </c>
      <c r="S17" s="137"/>
      <c r="T17" s="137">
        <f>COUNT(U35:U234)</f>
        <v>56</v>
      </c>
      <c r="U17" s="137"/>
      <c r="V17" s="137">
        <f>COUNT(W35:W234)</f>
        <v>56</v>
      </c>
      <c r="W17" s="137"/>
    </row>
    <row r="18" spans="1:23" s="15" customFormat="1" ht="14.15" x14ac:dyDescent="0.35">
      <c r="A18" s="79" t="s">
        <v>10</v>
      </c>
      <c r="B18" s="79"/>
      <c r="C18" s="79"/>
      <c r="D18" s="132">
        <f>COUNTIF(F35:F234,"FCD")</f>
        <v>23</v>
      </c>
      <c r="E18" s="132"/>
      <c r="F18" s="132"/>
      <c r="G18" s="8"/>
      <c r="H18" s="137">
        <f>SUMPRODUCT(--(H35:H234 + I35:I234 &gt;= 70))</f>
        <v>24</v>
      </c>
      <c r="I18" s="137"/>
      <c r="J18" s="137">
        <f t="shared" ref="J18" si="0">SUMPRODUCT(--(J35:J234 + K35:K234 &gt;= 70))</f>
        <v>22</v>
      </c>
      <c r="K18" s="137"/>
      <c r="L18" s="137">
        <f t="shared" ref="L18" si="1">SUMPRODUCT(--(L35:L234 + M35:M234 &gt;= 70))</f>
        <v>13</v>
      </c>
      <c r="M18" s="137"/>
      <c r="N18" s="137">
        <f t="shared" ref="N18" si="2">SUMPRODUCT(--(N35:N234 + O35:O234 &gt;= 70))</f>
        <v>30</v>
      </c>
      <c r="O18" s="137"/>
      <c r="P18" s="137">
        <f t="shared" ref="P18" si="3">SUMPRODUCT(--(P35:P234 + Q35:Q234 &gt;= 70))</f>
        <v>44</v>
      </c>
      <c r="Q18" s="137"/>
      <c r="R18" s="137">
        <f t="shared" ref="R18" si="4">SUMPRODUCT(--(R35:R234 + S35:S234 &gt;= 70))</f>
        <v>37</v>
      </c>
      <c r="S18" s="137"/>
      <c r="T18" s="137">
        <f t="shared" ref="T18" si="5">SUMPRODUCT(--(T35:T234 + U35:U234 &gt;= 70))</f>
        <v>23</v>
      </c>
      <c r="U18" s="137"/>
      <c r="V18" s="137">
        <f t="shared" ref="V18" si="6">SUMPRODUCT(--(V35:V234 + W35:W234 &gt;= 70))</f>
        <v>33</v>
      </c>
      <c r="W18" s="137"/>
    </row>
    <row r="19" spans="1:23" s="15" customFormat="1" ht="14.15" x14ac:dyDescent="0.35">
      <c r="A19" s="79" t="s">
        <v>11</v>
      </c>
      <c r="B19" s="79"/>
      <c r="C19" s="79"/>
      <c r="D19" s="132">
        <f>COUNTIF(F35:F234,"FC")</f>
        <v>19</v>
      </c>
      <c r="E19" s="132"/>
      <c r="F19" s="132"/>
      <c r="G19" s="8"/>
      <c r="H19" s="137">
        <f>SUMPRODUCT(--((H35:H234 + I35:I234) &gt;=60), --((H35:H234 + I35:I234) &lt; 70))</f>
        <v>16</v>
      </c>
      <c r="I19" s="137"/>
      <c r="J19" s="137">
        <f t="shared" ref="J19" si="7">SUMPRODUCT(--((J35:J234 + K35:K234) &gt;=60), --((J35:J234 + K35:K234) &lt; 70))</f>
        <v>17</v>
      </c>
      <c r="K19" s="137"/>
      <c r="L19" s="137">
        <f t="shared" ref="L19" si="8">SUMPRODUCT(--((L35:L234 + M35:M234) &gt;=60), --((L35:L234 + M35:M234) &lt; 70))</f>
        <v>17</v>
      </c>
      <c r="M19" s="137"/>
      <c r="N19" s="137">
        <f t="shared" ref="N19" si="9">SUMPRODUCT(--((N35:N234 + O35:O234) &gt;=60), --((N35:N234 + O35:O234) &lt; 70))</f>
        <v>23</v>
      </c>
      <c r="O19" s="137"/>
      <c r="P19" s="137">
        <f t="shared" ref="P19" si="10">SUMPRODUCT(--((P35:P234 + Q35:Q234) &gt;=60), --((P35:P234 + Q35:Q234) &lt; 70))</f>
        <v>10</v>
      </c>
      <c r="Q19" s="137"/>
      <c r="R19" s="137">
        <f t="shared" ref="R19" si="11">SUMPRODUCT(--((R35:R234 + S35:S234) &gt;=60), --((R35:R234 + S35:S234) &lt; 70))</f>
        <v>16</v>
      </c>
      <c r="S19" s="137"/>
      <c r="T19" s="137">
        <f t="shared" ref="T19" si="12">SUMPRODUCT(--((T35:T234 + U35:U234) &gt;=60), --((T35:T234 + U35:U234) &lt; 70))</f>
        <v>14</v>
      </c>
      <c r="U19" s="137"/>
      <c r="V19" s="137">
        <f t="shared" ref="V19" si="13">SUMPRODUCT(--((V35:V234 + W35:W234) &gt;=60), --((V35:V234 + W35:W234) &lt; 70))</f>
        <v>13</v>
      </c>
      <c r="W19" s="137"/>
    </row>
    <row r="20" spans="1:23" s="15" customFormat="1" ht="14.15" x14ac:dyDescent="0.35">
      <c r="A20" s="79" t="s">
        <v>12</v>
      </c>
      <c r="B20" s="79"/>
      <c r="C20" s="79"/>
      <c r="D20" s="132">
        <f>COUNTIF(F35:F234,"SC")</f>
        <v>0</v>
      </c>
      <c r="E20" s="132"/>
      <c r="F20" s="132"/>
      <c r="G20" s="8"/>
      <c r="H20" s="137">
        <f>SUMPRODUCT(--((H35:H234 + I35:I234) &gt; 0), --((H35:H234 + I35:I234) &lt; 60))</f>
        <v>16</v>
      </c>
      <c r="I20" s="137"/>
      <c r="J20" s="137">
        <f t="shared" ref="J20" si="14">SUMPRODUCT(--((J35:J234 + K35:K234) &gt; 0), --((J35:J234 + K35:K234) &lt; 60))</f>
        <v>17</v>
      </c>
      <c r="K20" s="137"/>
      <c r="L20" s="137">
        <f t="shared" ref="L20" si="15">SUMPRODUCT(--((L35:L234 + M35:M234) &gt; 0), --((L35:L234 + M35:M234) &lt; 60))</f>
        <v>26</v>
      </c>
      <c r="M20" s="137"/>
      <c r="N20" s="137">
        <f t="shared" ref="N20" si="16">SUMPRODUCT(--((N35:N234 + O35:O234) &gt; 0), --((N35:N234 + O35:O234) &lt; 60))</f>
        <v>3</v>
      </c>
      <c r="O20" s="137"/>
      <c r="P20" s="137">
        <f t="shared" ref="P20" si="17">SUMPRODUCT(--((P35:P234 + Q35:Q234) &gt; 0), --((P35:P234 + Q35:Q234) &lt; 60))</f>
        <v>2</v>
      </c>
      <c r="Q20" s="137"/>
      <c r="R20" s="137">
        <f t="shared" ref="R20" si="18">SUMPRODUCT(--((R35:R234 + S35:S234) &gt; 0), --((R35:R234 + S35:S234) &lt; 60))</f>
        <v>3</v>
      </c>
      <c r="S20" s="137"/>
      <c r="T20" s="137">
        <f t="shared" ref="T20" si="19">SUMPRODUCT(--((T35:T234 + U35:U234) &gt; 0), --((T35:T234 + U35:U234) &lt; 60))</f>
        <v>19</v>
      </c>
      <c r="U20" s="137"/>
      <c r="V20" s="137">
        <f t="shared" ref="V20" si="20">SUMPRODUCT(--((V35:V234 + W35:W234) &gt; 0), --((V35:V234 + W35:W234) &lt; 60))</f>
        <v>10</v>
      </c>
      <c r="W20" s="137"/>
    </row>
    <row r="21" spans="1:23" s="15" customFormat="1" ht="14.15" x14ac:dyDescent="0.35">
      <c r="A21" s="84" t="s">
        <v>13</v>
      </c>
      <c r="B21" s="84"/>
      <c r="C21" s="84"/>
      <c r="D21" s="132">
        <f>COUNTIF(E35:E234,"FAIL")</f>
        <v>14</v>
      </c>
      <c r="E21" s="132"/>
      <c r="F21" s="132"/>
      <c r="G21" s="8"/>
      <c r="H21" s="138">
        <f>COUNTIF(I35:I234,"&lt;18")</f>
        <v>8</v>
      </c>
      <c r="I21" s="139"/>
      <c r="J21" s="138">
        <f>COUNTIF(K35:K234,"&lt;18")</f>
        <v>8</v>
      </c>
      <c r="K21" s="139"/>
      <c r="L21" s="138">
        <f>COUNTIF(M35:M234,"&lt;18")</f>
        <v>5</v>
      </c>
      <c r="M21" s="139"/>
      <c r="N21" s="138">
        <f>COUNTIF(O35:O234,"&lt;18")</f>
        <v>3</v>
      </c>
      <c r="O21" s="139"/>
      <c r="P21" s="138">
        <f>COUNTIF(Q35:Q234,"&lt;18")</f>
        <v>2</v>
      </c>
      <c r="Q21" s="139"/>
      <c r="R21" s="138">
        <f>COUNTIF(S35:S234,"&lt;18")</f>
        <v>2</v>
      </c>
      <c r="S21" s="139"/>
      <c r="T21" s="138">
        <f>COUNTIF(U35:U234,"&lt;18")</f>
        <v>8</v>
      </c>
      <c r="U21" s="139"/>
      <c r="V21" s="138">
        <f>COUNTIF(W35:W234,"&lt;18")</f>
        <v>3</v>
      </c>
      <c r="W21" s="139"/>
    </row>
    <row r="22" spans="1:23" s="15" customFormat="1" ht="14.15" x14ac:dyDescent="0.35">
      <c r="A22" s="80" t="s">
        <v>14</v>
      </c>
      <c r="B22" s="85"/>
      <c r="C22" s="86"/>
      <c r="D22" s="133">
        <f>MAX(D35:D234)</f>
        <v>84.875</v>
      </c>
      <c r="E22" s="134"/>
      <c r="F22" s="134"/>
      <c r="G22" s="8"/>
      <c r="H22" s="67">
        <f>MAX(H35:H234)</f>
        <v>50</v>
      </c>
      <c r="I22" s="67">
        <f>MAX(I35:I234)</f>
        <v>50</v>
      </c>
      <c r="J22" s="67">
        <f t="shared" ref="J22:W22" si="21">MAX(J35:J234)</f>
        <v>50</v>
      </c>
      <c r="K22" s="67">
        <f t="shared" si="21"/>
        <v>36</v>
      </c>
      <c r="L22" s="67">
        <f t="shared" si="21"/>
        <v>50</v>
      </c>
      <c r="M22" s="67">
        <f t="shared" si="21"/>
        <v>43</v>
      </c>
      <c r="N22" s="67">
        <f t="shared" si="21"/>
        <v>48</v>
      </c>
      <c r="O22" s="67">
        <f t="shared" si="21"/>
        <v>33</v>
      </c>
      <c r="P22" s="67">
        <f t="shared" si="21"/>
        <v>48</v>
      </c>
      <c r="Q22" s="67">
        <f t="shared" si="21"/>
        <v>44</v>
      </c>
      <c r="R22" s="67">
        <f t="shared" si="21"/>
        <v>50</v>
      </c>
      <c r="S22" s="67">
        <f t="shared" si="21"/>
        <v>29</v>
      </c>
      <c r="T22" s="67">
        <f t="shared" si="21"/>
        <v>50</v>
      </c>
      <c r="U22" s="67">
        <f t="shared" si="21"/>
        <v>41</v>
      </c>
      <c r="V22" s="67">
        <f t="shared" si="21"/>
        <v>50</v>
      </c>
      <c r="W22" s="67">
        <f t="shared" si="21"/>
        <v>38</v>
      </c>
    </row>
    <row r="23" spans="1:23" s="15" customFormat="1" ht="14.15" x14ac:dyDescent="0.35">
      <c r="A23" s="80" t="s">
        <v>15</v>
      </c>
      <c r="B23" s="85"/>
      <c r="C23" s="86"/>
      <c r="D23" s="133">
        <f>MIN(D35:D234)</f>
        <v>46.75</v>
      </c>
      <c r="E23" s="134"/>
      <c r="F23" s="134"/>
      <c r="G23" s="8"/>
      <c r="H23" s="67">
        <f>MIN(H35:H234)</f>
        <v>35</v>
      </c>
      <c r="I23" s="67">
        <f t="shared" ref="I23:W23" si="22">MIN(I35:I234)</f>
        <v>3</v>
      </c>
      <c r="J23" s="67">
        <f t="shared" si="22"/>
        <v>34</v>
      </c>
      <c r="K23" s="67">
        <f t="shared" si="22"/>
        <v>10</v>
      </c>
      <c r="L23" s="67">
        <f t="shared" si="22"/>
        <v>25</v>
      </c>
      <c r="M23" s="67">
        <f t="shared" si="22"/>
        <v>2</v>
      </c>
      <c r="N23" s="67">
        <f t="shared" si="22"/>
        <v>42</v>
      </c>
      <c r="O23" s="67">
        <f t="shared" si="22"/>
        <v>9</v>
      </c>
      <c r="P23" s="67">
        <f t="shared" si="22"/>
        <v>40</v>
      </c>
      <c r="Q23" s="67">
        <f t="shared" si="22"/>
        <v>11</v>
      </c>
      <c r="R23" s="67">
        <f t="shared" si="22"/>
        <v>35</v>
      </c>
      <c r="S23" s="67">
        <f t="shared" si="22"/>
        <v>10</v>
      </c>
      <c r="T23" s="67">
        <f t="shared" si="22"/>
        <v>35</v>
      </c>
      <c r="U23" s="67">
        <f t="shared" si="22"/>
        <v>3</v>
      </c>
      <c r="V23" s="67">
        <f t="shared" si="22"/>
        <v>35</v>
      </c>
      <c r="W23" s="67">
        <f t="shared" si="22"/>
        <v>10</v>
      </c>
    </row>
    <row r="24" spans="1:23" s="15" customFormat="1" ht="14.15" x14ac:dyDescent="0.35">
      <c r="A24" s="80" t="s">
        <v>16</v>
      </c>
      <c r="B24" s="85"/>
      <c r="C24" s="86"/>
      <c r="D24" s="133">
        <f>MEDIAN(D35:D234)</f>
        <v>68.625</v>
      </c>
      <c r="E24" s="134"/>
      <c r="F24" s="134"/>
      <c r="G24" s="8"/>
      <c r="H24" s="67">
        <f t="shared" ref="H24:U24" si="23">IFERROR(MEDIAN(H35:H234),"")</f>
        <v>41.5</v>
      </c>
      <c r="I24" s="67">
        <f t="shared" si="23"/>
        <v>26</v>
      </c>
      <c r="J24" s="67">
        <f t="shared" si="23"/>
        <v>43</v>
      </c>
      <c r="K24" s="67">
        <f t="shared" si="23"/>
        <v>22.5</v>
      </c>
      <c r="L24" s="67">
        <f t="shared" si="23"/>
        <v>37</v>
      </c>
      <c r="M24" s="67">
        <f t="shared" si="23"/>
        <v>22.5</v>
      </c>
      <c r="N24" s="67">
        <f t="shared" si="23"/>
        <v>45</v>
      </c>
      <c r="O24" s="67">
        <f t="shared" si="23"/>
        <v>25</v>
      </c>
      <c r="P24" s="67">
        <f t="shared" si="23"/>
        <v>46</v>
      </c>
      <c r="Q24" s="67">
        <f t="shared" si="23"/>
        <v>33</v>
      </c>
      <c r="R24" s="67">
        <f t="shared" si="23"/>
        <v>50</v>
      </c>
      <c r="S24" s="67">
        <f t="shared" si="23"/>
        <v>24</v>
      </c>
      <c r="T24" s="67">
        <f t="shared" si="23"/>
        <v>41</v>
      </c>
      <c r="U24" s="67">
        <f t="shared" si="23"/>
        <v>23</v>
      </c>
      <c r="V24" s="67">
        <f>IFERROR(MEDIAN(V35:V234), "")</f>
        <v>44</v>
      </c>
      <c r="W24" s="67">
        <f>IFERROR(MEDIAN(W35:W234),"")</f>
        <v>27</v>
      </c>
    </row>
    <row r="25" spans="1:23" s="15" customFormat="1" ht="14.15" x14ac:dyDescent="0.35">
      <c r="A25" s="80" t="s">
        <v>17</v>
      </c>
      <c r="B25" s="85"/>
      <c r="C25" s="86"/>
      <c r="D25" s="133">
        <f>AVERAGE(D35:D234)</f>
        <v>68.339285714285708</v>
      </c>
      <c r="E25" s="134"/>
      <c r="F25" s="134"/>
      <c r="G25" s="8"/>
      <c r="H25" s="67">
        <f t="shared" ref="H25:W25" si="24">IFERROR(AVERAGE(H35:H234),"")</f>
        <v>41</v>
      </c>
      <c r="I25" s="67">
        <f t="shared" si="24"/>
        <v>27.071428571428573</v>
      </c>
      <c r="J25" s="67">
        <f t="shared" si="24"/>
        <v>42.946428571428569</v>
      </c>
      <c r="K25" s="67">
        <f t="shared" si="24"/>
        <v>22.160714285714285</v>
      </c>
      <c r="L25" s="67">
        <f t="shared" si="24"/>
        <v>38.214285714285715</v>
      </c>
      <c r="M25" s="67">
        <f t="shared" si="24"/>
        <v>23.178571428571427</v>
      </c>
      <c r="N25" s="67">
        <f t="shared" si="24"/>
        <v>45.25</v>
      </c>
      <c r="O25" s="67">
        <f t="shared" si="24"/>
        <v>24.071428571428573</v>
      </c>
      <c r="P25" s="67">
        <f t="shared" si="24"/>
        <v>45.392857142857146</v>
      </c>
      <c r="Q25" s="67">
        <f t="shared" si="24"/>
        <v>31.267857142857142</v>
      </c>
      <c r="R25" s="67">
        <f t="shared" si="24"/>
        <v>47.803571428571431</v>
      </c>
      <c r="S25" s="67">
        <f t="shared" si="24"/>
        <v>23.482142857142858</v>
      </c>
      <c r="T25" s="67">
        <f t="shared" si="24"/>
        <v>41.392857142857146</v>
      </c>
      <c r="U25" s="67">
        <f t="shared" si="24"/>
        <v>23.875</v>
      </c>
      <c r="V25" s="67">
        <f t="shared" si="24"/>
        <v>43.535714285714285</v>
      </c>
      <c r="W25" s="67">
        <f t="shared" si="24"/>
        <v>26.071428571428573</v>
      </c>
    </row>
    <row r="26" spans="1:23" s="15" customFormat="1" ht="14.15" x14ac:dyDescent="0.35">
      <c r="A26" s="80" t="s">
        <v>18</v>
      </c>
      <c r="B26" s="85"/>
      <c r="C26" s="86"/>
      <c r="D26" s="135">
        <v>85</v>
      </c>
      <c r="E26" s="136"/>
      <c r="F26" s="136"/>
      <c r="G26" s="8"/>
      <c r="H26" s="131">
        <v>85</v>
      </c>
      <c r="I26" s="131"/>
      <c r="J26" s="131">
        <v>85</v>
      </c>
      <c r="K26" s="131"/>
      <c r="L26" s="131">
        <v>85</v>
      </c>
      <c r="M26" s="131"/>
      <c r="N26" s="131">
        <v>85</v>
      </c>
      <c r="O26" s="131"/>
      <c r="P26" s="131">
        <v>85</v>
      </c>
      <c r="Q26" s="131"/>
      <c r="R26" s="131">
        <v>85</v>
      </c>
      <c r="S26" s="131"/>
      <c r="T26" s="131">
        <v>85</v>
      </c>
      <c r="U26" s="131"/>
      <c r="V26" s="131">
        <v>85</v>
      </c>
      <c r="W26" s="131"/>
    </row>
    <row r="27" spans="1:23" s="15" customFormat="1" ht="14.15" x14ac:dyDescent="0.35">
      <c r="A27" s="80" t="s">
        <v>19</v>
      </c>
      <c r="B27" s="79"/>
      <c r="C27" s="79"/>
      <c r="D27" s="132" t="str">
        <f>IF(D15&gt;=D26, "YES","NO")</f>
        <v>NO</v>
      </c>
      <c r="E27" s="132"/>
      <c r="F27" s="132"/>
      <c r="G27" s="27"/>
      <c r="H27" s="132" t="str">
        <f>IF(H15&gt;=H26,"YES","NO")</f>
        <v>YES</v>
      </c>
      <c r="I27" s="132"/>
      <c r="J27" s="132" t="str">
        <f>IF(J15&gt;=J26,"YES","NO")</f>
        <v>YES</v>
      </c>
      <c r="K27" s="132"/>
      <c r="L27" s="132" t="str">
        <f t="shared" ref="L27" si="25">IF(L15&gt;=L26,"YES","NO")</f>
        <v>YES</v>
      </c>
      <c r="M27" s="132"/>
      <c r="N27" s="132" t="str">
        <f t="shared" ref="N27" si="26">IF(N15&gt;=N26,"YES","NO")</f>
        <v>YES</v>
      </c>
      <c r="O27" s="132"/>
      <c r="P27" s="132" t="str">
        <f t="shared" ref="P27" si="27">IF(P15&gt;=P26,"YES","NO")</f>
        <v>YES</v>
      </c>
      <c r="Q27" s="132"/>
      <c r="R27" s="132" t="str">
        <f t="shared" ref="R27" si="28">IF(R15&gt;=R26,"YES","NO")</f>
        <v>YES</v>
      </c>
      <c r="S27" s="132"/>
      <c r="T27" s="132" t="str">
        <f>IF(T15="","",IF(T15&gt;=T26,"YES","NO"))</f>
        <v>YES</v>
      </c>
      <c r="U27" s="132"/>
      <c r="V27" s="132" t="str">
        <f>IF(V15="","",IF(V15&gt;=V26,"YES","NO"))</f>
        <v>YES</v>
      </c>
      <c r="W27" s="132"/>
    </row>
    <row r="28" spans="1:23" s="15" customFormat="1" ht="14.15" x14ac:dyDescent="0.35">
      <c r="A28" s="81" t="s">
        <v>26</v>
      </c>
      <c r="B28" s="79"/>
      <c r="C28" s="79"/>
      <c r="D28" s="119">
        <v>18</v>
      </c>
      <c r="E28" s="120"/>
      <c r="F28" s="121"/>
      <c r="G28" s="7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 spans="1:23" s="15" customFormat="1" ht="14.15" x14ac:dyDescent="0.35">
      <c r="A29" s="7" t="s">
        <v>27</v>
      </c>
      <c r="B29" s="8"/>
      <c r="C29" s="8"/>
      <c r="D29" s="119">
        <v>800</v>
      </c>
      <c r="E29" s="120"/>
      <c r="F29" s="121"/>
      <c r="G29" s="7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s="15" customFormat="1" ht="14.15" x14ac:dyDescent="0.35">
      <c r="A30" s="7"/>
      <c r="B30" s="7"/>
      <c r="C30" s="7"/>
      <c r="D30" s="36"/>
      <c r="E30" s="36"/>
      <c r="F30" s="36"/>
      <c r="G30" s="7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s="15" customFormat="1" ht="14.15" x14ac:dyDescent="0.35">
      <c r="A31" s="7"/>
      <c r="B31" s="7"/>
      <c r="C31" s="7"/>
      <c r="F31" s="7"/>
      <c r="G31" s="7"/>
      <c r="H31" s="29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28" t="s">
        <v>20</v>
      </c>
      <c r="V31" s="18"/>
      <c r="W31" s="18"/>
    </row>
    <row r="32" spans="1:23" s="15" customFormat="1" ht="14.15" x14ac:dyDescent="0.35">
      <c r="A32" s="7"/>
      <c r="B32" s="7"/>
      <c r="C32" s="7"/>
      <c r="D32" s="7"/>
      <c r="E32" s="7"/>
      <c r="F32" s="7"/>
      <c r="G32" s="7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V32" s="18"/>
      <c r="W32" s="18"/>
    </row>
    <row r="33" spans="1:23" s="30" customFormat="1" ht="14.15" x14ac:dyDescent="0.35">
      <c r="A33" s="122" t="s">
        <v>1</v>
      </c>
      <c r="B33" s="123" t="s">
        <v>22</v>
      </c>
      <c r="C33" s="125" t="s">
        <v>23</v>
      </c>
      <c r="D33" s="127" t="s">
        <v>24</v>
      </c>
      <c r="E33" s="129" t="s">
        <v>21</v>
      </c>
      <c r="F33" s="130" t="s">
        <v>25</v>
      </c>
      <c r="G33" s="66"/>
      <c r="H33" s="118" t="str">
        <f>IF(B6=0,"",B6)</f>
        <v>BMATE101</v>
      </c>
      <c r="I33" s="118"/>
      <c r="J33" s="118" t="str">
        <f>IF(B7=0,"",B7)</f>
        <v>BPHYE102</v>
      </c>
      <c r="K33" s="118"/>
      <c r="L33" s="118" t="str">
        <f>IF(B8=0,"",B8)</f>
        <v>BBEE103</v>
      </c>
      <c r="M33" s="118"/>
      <c r="N33" s="118" t="str">
        <f>IF(B9=0,"",B9)</f>
        <v>BENGK106</v>
      </c>
      <c r="O33" s="118"/>
      <c r="P33" s="118" t="str">
        <f>IF(B10=0,"",B10)</f>
        <v>BKSKK107</v>
      </c>
      <c r="Q33" s="118"/>
      <c r="R33" s="118" t="str">
        <f>IF(B11=0,"",B11)</f>
        <v>BIDTK158</v>
      </c>
      <c r="S33" s="118"/>
      <c r="T33" s="118" t="str">
        <f>IF(B12=0,"",B12)</f>
        <v>BESCK104E</v>
      </c>
      <c r="U33" s="118"/>
      <c r="V33" s="118" t="str">
        <f>IF(B13=0,"",B13)</f>
        <v>BETCK105H</v>
      </c>
      <c r="W33" s="118"/>
    </row>
    <row r="34" spans="1:23" s="30" customFormat="1" ht="14.15" x14ac:dyDescent="0.35">
      <c r="A34" s="122"/>
      <c r="B34" s="124"/>
      <c r="C34" s="126"/>
      <c r="D34" s="128"/>
      <c r="E34" s="129"/>
      <c r="F34" s="130"/>
      <c r="G34" s="66"/>
      <c r="H34" s="31" t="str">
        <f>IF(B6=0,"","CIE")</f>
        <v>CIE</v>
      </c>
      <c r="I34" s="31" t="str">
        <f>IF(B6=0,"","SEE")</f>
        <v>SEE</v>
      </c>
      <c r="J34" s="31" t="str">
        <f>IF(B7=0,"","CIE")</f>
        <v>CIE</v>
      </c>
      <c r="K34" s="31" t="str">
        <f>IF(B7=0,"","SEE")</f>
        <v>SEE</v>
      </c>
      <c r="L34" s="31" t="str">
        <f>IF(B8=0,"","CIE")</f>
        <v>CIE</v>
      </c>
      <c r="M34" s="31" t="str">
        <f>IF(B8=0,"","SEE")</f>
        <v>SEE</v>
      </c>
      <c r="N34" s="31" t="str">
        <f>IF(B9=0,"","CIE")</f>
        <v>CIE</v>
      </c>
      <c r="O34" s="31" t="str">
        <f>IF(B9=0,"","SEE")</f>
        <v>SEE</v>
      </c>
      <c r="P34" s="31" t="str">
        <f>IF(B10=0,"","CIE")</f>
        <v>CIE</v>
      </c>
      <c r="Q34" s="31" t="str">
        <f>IF(B10=0,"","SEE")</f>
        <v>SEE</v>
      </c>
      <c r="R34" s="31" t="str">
        <f>IF(B11=0,"","CIE")</f>
        <v>CIE</v>
      </c>
      <c r="S34" s="31" t="str">
        <f>IF(B11=0,"","SEE")</f>
        <v>SEE</v>
      </c>
      <c r="T34" s="31" t="str">
        <f>IF(B12=0,"","CIE")</f>
        <v>CIE</v>
      </c>
      <c r="U34" s="31" t="str">
        <f>IF(B12=0,"","SEE")</f>
        <v>SEE</v>
      </c>
      <c r="V34" s="31" t="str">
        <f>IF(B13=0,"","CIE")</f>
        <v>CIE</v>
      </c>
      <c r="W34" s="31" t="str">
        <f>IF(B13=0,"","SEE")</f>
        <v>SEE</v>
      </c>
    </row>
    <row r="35" spans="1:23" s="15" customFormat="1" ht="14.15" x14ac:dyDescent="0.35">
      <c r="A35" s="69">
        <f>IF(B35&lt;&gt;"",COUNTA($B35:B$35),"")</f>
        <v>1</v>
      </c>
      <c r="B35" s="13" t="s">
        <v>46</v>
      </c>
      <c r="C35" s="13" t="s">
        <v>47</v>
      </c>
      <c r="D35" s="33">
        <f>IF(C35="","",(SUM(H35:W35)/D$29)*100)</f>
        <v>62.375</v>
      </c>
      <c r="E35" s="69" t="str">
        <f>IF(ISBLANK(B35),"",IF(OR(AND(I35&lt;18, I35&lt;&gt;""),AND(K35&lt;18, K35&lt;&gt;""),AND(M35&lt;18, M35&lt;&gt;""),AND(O35&lt;18, O35&lt;&gt;""),AND(Q35&lt;18, Q35&lt;&gt;""),AND(S35&lt;18, S35&lt;&gt;""),AND(U35&lt;18, U35&lt;&gt;""),AND(W35&lt;18, W35&lt;&gt;"")),"FAIL","PASS"))</f>
        <v>PASS</v>
      </c>
      <c r="F35" s="69" t="str">
        <f>IF(E35="Pass",G35, IF(E35="FAIL","FAIL",""))</f>
        <v>FC</v>
      </c>
      <c r="G35" s="34" t="str">
        <f t="shared" ref="G35:G98" si="29">IF(D35 = "", "", IF(D35 &gt;= 70, "FCD", IF(D35 &gt;= 60, "FC", IF(D35 &gt;= 35, "SC", ""))))</f>
        <v>FC</v>
      </c>
      <c r="H35" s="31">
        <v>37</v>
      </c>
      <c r="I35" s="31">
        <v>22</v>
      </c>
      <c r="J35" s="31">
        <v>37</v>
      </c>
      <c r="K35" s="31">
        <v>19</v>
      </c>
      <c r="L35" s="31">
        <v>32</v>
      </c>
      <c r="M35" s="31">
        <v>20</v>
      </c>
      <c r="N35" s="31">
        <v>45</v>
      </c>
      <c r="O35" s="31">
        <v>28</v>
      </c>
      <c r="P35" s="31">
        <v>40</v>
      </c>
      <c r="Q35" s="31">
        <v>31</v>
      </c>
      <c r="R35" s="31">
        <v>48</v>
      </c>
      <c r="S35" s="31">
        <v>25</v>
      </c>
      <c r="T35" s="31">
        <v>37</v>
      </c>
      <c r="U35" s="31">
        <v>23</v>
      </c>
      <c r="V35" s="31">
        <v>35</v>
      </c>
      <c r="W35" s="31">
        <v>20</v>
      </c>
    </row>
    <row r="36" spans="1:23" s="15" customFormat="1" ht="14.15" x14ac:dyDescent="0.35">
      <c r="A36" s="69">
        <f>IF(B36&lt;&gt;"",COUNTA($B$35:B36),"")</f>
        <v>2</v>
      </c>
      <c r="B36" s="13" t="s">
        <v>48</v>
      </c>
      <c r="C36" s="13" t="s">
        <v>49</v>
      </c>
      <c r="D36" s="33">
        <f>IF(C36="","",(SUM(H36:W36)/D$29)*100)</f>
        <v>46.75</v>
      </c>
      <c r="E36" s="69" t="str">
        <f t="shared" ref="E36:E40" si="30">IF(ISBLANK(B36),"",IF(OR(AND(I36&lt;18, I36&lt;&gt;""),AND(K36&lt;18, K36&lt;&gt;""),AND(M36&lt;18, M36&lt;&gt;""),AND(O36&lt;18, O36&lt;&gt;""),AND(Q36&lt;18, Q36&lt;&gt;""),AND(S36&lt;18, S36&lt;&gt;""),AND(U36&lt;18, U36&lt;&gt;""),AND(W36&lt;18, W36&lt;&gt;"")),"FAIL","PASS"))</f>
        <v>FAIL</v>
      </c>
      <c r="F36" s="69" t="str">
        <f>IF(E36="Pass",G36, IF(E36="FAIL","FAIL",""))</f>
        <v>FAIL</v>
      </c>
      <c r="G36" s="34" t="str">
        <f t="shared" si="29"/>
        <v>SC</v>
      </c>
      <c r="H36" s="31">
        <v>35</v>
      </c>
      <c r="I36" s="31">
        <v>3</v>
      </c>
      <c r="J36" s="31">
        <v>35</v>
      </c>
      <c r="K36" s="31">
        <v>11</v>
      </c>
      <c r="L36" s="31">
        <v>25</v>
      </c>
      <c r="M36" s="31">
        <v>2</v>
      </c>
      <c r="N36" s="31">
        <v>43</v>
      </c>
      <c r="O36" s="31">
        <v>9</v>
      </c>
      <c r="P36" s="31">
        <v>48</v>
      </c>
      <c r="Q36" s="31">
        <v>11</v>
      </c>
      <c r="R36" s="31">
        <v>50</v>
      </c>
      <c r="S36" s="31">
        <v>10</v>
      </c>
      <c r="T36" s="31">
        <v>35</v>
      </c>
      <c r="U36" s="31">
        <v>9</v>
      </c>
      <c r="V36" s="31">
        <v>35</v>
      </c>
      <c r="W36" s="31">
        <v>13</v>
      </c>
    </row>
    <row r="37" spans="1:23" s="15" customFormat="1" ht="14.15" x14ac:dyDescent="0.35">
      <c r="A37" s="69">
        <f>IF(B37&lt;&gt;"",COUNTA($B$35:B37),"")</f>
        <v>3</v>
      </c>
      <c r="B37" s="13" t="s">
        <v>50</v>
      </c>
      <c r="C37" s="13" t="s">
        <v>51</v>
      </c>
      <c r="D37" s="33">
        <f t="shared" ref="D37:D100" si="31">IF(C37="","",(SUM(H37:W37)/D$29)*100)</f>
        <v>64.125</v>
      </c>
      <c r="E37" s="69" t="str">
        <f t="shared" si="30"/>
        <v>PASS</v>
      </c>
      <c r="F37" s="69" t="str">
        <f t="shared" ref="F37:F100" si="32">IF(E37="Pass",G37, IF(E37="FAIL","FAIL",""))</f>
        <v>FC</v>
      </c>
      <c r="G37" s="34" t="str">
        <f t="shared" si="29"/>
        <v>FC</v>
      </c>
      <c r="H37" s="31">
        <v>36</v>
      </c>
      <c r="I37" s="31">
        <v>26</v>
      </c>
      <c r="J37" s="31">
        <v>41</v>
      </c>
      <c r="K37" s="31">
        <v>24</v>
      </c>
      <c r="L37" s="31">
        <v>31</v>
      </c>
      <c r="M37" s="31">
        <v>19</v>
      </c>
      <c r="N37" s="31">
        <v>47</v>
      </c>
      <c r="O37" s="31">
        <v>18</v>
      </c>
      <c r="P37" s="31">
        <v>46</v>
      </c>
      <c r="Q37" s="31">
        <v>33</v>
      </c>
      <c r="R37" s="31">
        <v>50</v>
      </c>
      <c r="S37" s="31">
        <v>26</v>
      </c>
      <c r="T37" s="31">
        <v>35</v>
      </c>
      <c r="U37" s="31">
        <v>18</v>
      </c>
      <c r="V37" s="31">
        <v>41</v>
      </c>
      <c r="W37" s="31">
        <v>22</v>
      </c>
    </row>
    <row r="38" spans="1:23" s="15" customFormat="1" ht="14.15" x14ac:dyDescent="0.35">
      <c r="A38" s="69">
        <f>IF(B38&lt;&gt;"",COUNTA($B$35:B38),"")</f>
        <v>4</v>
      </c>
      <c r="B38" s="13" t="s">
        <v>52</v>
      </c>
      <c r="C38" s="13" t="s">
        <v>53</v>
      </c>
      <c r="D38" s="33">
        <f t="shared" si="31"/>
        <v>68.375</v>
      </c>
      <c r="E38" s="69" t="str">
        <f t="shared" si="30"/>
        <v>PASS</v>
      </c>
      <c r="F38" s="69" t="str">
        <f t="shared" si="32"/>
        <v>FC</v>
      </c>
      <c r="G38" s="34" t="str">
        <f t="shared" si="29"/>
        <v>FC</v>
      </c>
      <c r="H38" s="31">
        <v>35</v>
      </c>
      <c r="I38" s="31">
        <v>32</v>
      </c>
      <c r="J38" s="31">
        <v>42</v>
      </c>
      <c r="K38" s="31">
        <v>26</v>
      </c>
      <c r="L38" s="31">
        <v>35</v>
      </c>
      <c r="M38" s="31">
        <v>19</v>
      </c>
      <c r="N38" s="31">
        <v>46</v>
      </c>
      <c r="O38" s="31">
        <v>26</v>
      </c>
      <c r="P38" s="31">
        <v>46</v>
      </c>
      <c r="Q38" s="31">
        <v>33</v>
      </c>
      <c r="R38" s="31">
        <v>50</v>
      </c>
      <c r="S38" s="31">
        <v>23</v>
      </c>
      <c r="T38" s="31">
        <v>39</v>
      </c>
      <c r="U38" s="31">
        <v>21</v>
      </c>
      <c r="V38" s="31">
        <v>45</v>
      </c>
      <c r="W38" s="31">
        <v>29</v>
      </c>
    </row>
    <row r="39" spans="1:23" s="15" customFormat="1" ht="14.15" x14ac:dyDescent="0.35">
      <c r="A39" s="69">
        <f>IF(B39&lt;&gt;"",COUNTA($B$35:B39),"")</f>
        <v>5</v>
      </c>
      <c r="B39" s="13" t="s">
        <v>54</v>
      </c>
      <c r="C39" s="13" t="s">
        <v>55</v>
      </c>
      <c r="D39" s="33">
        <f t="shared" si="31"/>
        <v>57.625000000000007</v>
      </c>
      <c r="E39" s="69" t="str">
        <f t="shared" si="30"/>
        <v>FAIL</v>
      </c>
      <c r="F39" s="69" t="str">
        <f t="shared" si="32"/>
        <v>FAIL</v>
      </c>
      <c r="G39" s="34" t="str">
        <f t="shared" si="29"/>
        <v>SC</v>
      </c>
      <c r="H39" s="31">
        <v>35</v>
      </c>
      <c r="I39" s="31">
        <v>7</v>
      </c>
      <c r="J39" s="31">
        <v>39</v>
      </c>
      <c r="K39" s="31">
        <v>11</v>
      </c>
      <c r="L39" s="31">
        <v>35</v>
      </c>
      <c r="M39" s="31">
        <v>26</v>
      </c>
      <c r="N39" s="31">
        <v>48</v>
      </c>
      <c r="O39" s="31">
        <v>20</v>
      </c>
      <c r="P39" s="31">
        <v>48</v>
      </c>
      <c r="Q39" s="31">
        <v>18</v>
      </c>
      <c r="R39" s="31">
        <v>48</v>
      </c>
      <c r="S39" s="31">
        <v>20</v>
      </c>
      <c r="T39" s="31">
        <v>38</v>
      </c>
      <c r="U39" s="31">
        <v>12</v>
      </c>
      <c r="V39" s="31">
        <v>35</v>
      </c>
      <c r="W39" s="31">
        <v>21</v>
      </c>
    </row>
    <row r="40" spans="1:23" s="15" customFormat="1" ht="14.15" x14ac:dyDescent="0.35">
      <c r="A40" s="69">
        <f>IF(B40&lt;&gt;"",COUNTA($B$35:B40),"")</f>
        <v>6</v>
      </c>
      <c r="B40" s="13" t="s">
        <v>56</v>
      </c>
      <c r="C40" s="13" t="s">
        <v>57</v>
      </c>
      <c r="D40" s="33">
        <f t="shared" si="31"/>
        <v>69.75</v>
      </c>
      <c r="E40" s="69" t="str">
        <f t="shared" si="30"/>
        <v>PASS</v>
      </c>
      <c r="F40" s="69" t="str">
        <f t="shared" si="32"/>
        <v>FC</v>
      </c>
      <c r="G40" s="34" t="str">
        <f t="shared" si="29"/>
        <v>FC</v>
      </c>
      <c r="H40" s="31">
        <v>38</v>
      </c>
      <c r="I40" s="31">
        <v>18</v>
      </c>
      <c r="J40" s="31">
        <v>42</v>
      </c>
      <c r="K40" s="31">
        <v>23</v>
      </c>
      <c r="L40" s="31">
        <v>43</v>
      </c>
      <c r="M40" s="31">
        <v>23</v>
      </c>
      <c r="N40" s="31">
        <v>44</v>
      </c>
      <c r="O40" s="31">
        <v>28</v>
      </c>
      <c r="P40" s="31">
        <v>48</v>
      </c>
      <c r="Q40" s="31">
        <v>30</v>
      </c>
      <c r="R40" s="31">
        <v>48</v>
      </c>
      <c r="S40" s="31">
        <v>19</v>
      </c>
      <c r="T40" s="31">
        <v>48</v>
      </c>
      <c r="U40" s="31">
        <v>32</v>
      </c>
      <c r="V40" s="31">
        <v>49</v>
      </c>
      <c r="W40" s="31">
        <v>25</v>
      </c>
    </row>
    <row r="41" spans="1:23" s="15" customFormat="1" ht="14.15" x14ac:dyDescent="0.35">
      <c r="A41" s="69">
        <f>IF(B41&lt;&gt;"",COUNTA($B$35:B41),"")</f>
        <v>7</v>
      </c>
      <c r="B41" s="13" t="s">
        <v>58</v>
      </c>
      <c r="C41" s="13" t="s">
        <v>59</v>
      </c>
      <c r="D41" s="33">
        <f t="shared" si="31"/>
        <v>75.375</v>
      </c>
      <c r="E41" s="69" t="str">
        <f t="shared" ref="E41:E104" si="33">IF(ISBLANK(B41),"",IF(OR(I41&lt;18,K41&lt;18,M41&lt;18,O41&lt;18,Q41&lt;18,S41&lt;18,U41&lt;18,W41&lt;18),"FAIL","PASS"))</f>
        <v>PASS</v>
      </c>
      <c r="F41" s="69" t="str">
        <f t="shared" si="32"/>
        <v>FCD</v>
      </c>
      <c r="G41" s="34" t="str">
        <f t="shared" si="29"/>
        <v>FCD</v>
      </c>
      <c r="H41" s="31">
        <v>46</v>
      </c>
      <c r="I41" s="31">
        <v>38</v>
      </c>
      <c r="J41" s="31">
        <v>47</v>
      </c>
      <c r="K41" s="31">
        <v>26</v>
      </c>
      <c r="L41" s="31">
        <v>42</v>
      </c>
      <c r="M41" s="31">
        <v>22</v>
      </c>
      <c r="N41" s="31">
        <v>45</v>
      </c>
      <c r="O41" s="31">
        <v>30</v>
      </c>
      <c r="P41" s="31">
        <v>48</v>
      </c>
      <c r="Q41" s="31">
        <v>40</v>
      </c>
      <c r="R41" s="31">
        <v>50</v>
      </c>
      <c r="S41" s="31">
        <v>29</v>
      </c>
      <c r="T41" s="31">
        <v>46</v>
      </c>
      <c r="U41" s="31">
        <v>20</v>
      </c>
      <c r="V41" s="31">
        <v>44</v>
      </c>
      <c r="W41" s="31">
        <v>30</v>
      </c>
    </row>
    <row r="42" spans="1:23" s="15" customFormat="1" ht="14.15" x14ac:dyDescent="0.35">
      <c r="A42" s="69">
        <f>IF(B42&lt;&gt;"",COUNTA($B$35:B42),"")</f>
        <v>8</v>
      </c>
      <c r="B42" s="13" t="s">
        <v>60</v>
      </c>
      <c r="C42" s="13" t="s">
        <v>61</v>
      </c>
      <c r="D42" s="33">
        <f t="shared" si="31"/>
        <v>68</v>
      </c>
      <c r="E42" s="69" t="str">
        <f t="shared" si="33"/>
        <v>PASS</v>
      </c>
      <c r="F42" s="69" t="str">
        <f t="shared" si="32"/>
        <v>FC</v>
      </c>
      <c r="G42" s="34" t="str">
        <f t="shared" si="29"/>
        <v>FC</v>
      </c>
      <c r="H42" s="31">
        <v>42</v>
      </c>
      <c r="I42" s="31">
        <v>29</v>
      </c>
      <c r="J42" s="31">
        <v>45</v>
      </c>
      <c r="K42" s="31">
        <v>19</v>
      </c>
      <c r="L42" s="31">
        <v>35</v>
      </c>
      <c r="M42" s="31">
        <v>22</v>
      </c>
      <c r="N42" s="31">
        <v>46</v>
      </c>
      <c r="O42" s="31">
        <v>22</v>
      </c>
      <c r="P42" s="31">
        <v>48</v>
      </c>
      <c r="Q42" s="31">
        <v>34</v>
      </c>
      <c r="R42" s="31">
        <v>50</v>
      </c>
      <c r="S42" s="31">
        <v>22</v>
      </c>
      <c r="T42" s="31">
        <v>37</v>
      </c>
      <c r="U42" s="31">
        <v>22</v>
      </c>
      <c r="V42" s="31">
        <v>35</v>
      </c>
      <c r="W42" s="31">
        <v>36</v>
      </c>
    </row>
    <row r="43" spans="1:23" s="15" customFormat="1" ht="14.15" x14ac:dyDescent="0.35">
      <c r="A43" s="69">
        <f>IF(B43&lt;&gt;"",COUNTA($B$35:B43),"")</f>
        <v>9</v>
      </c>
      <c r="B43" s="13" t="s">
        <v>62</v>
      </c>
      <c r="C43" s="13" t="s">
        <v>63</v>
      </c>
      <c r="D43" s="33">
        <f t="shared" si="31"/>
        <v>64</v>
      </c>
      <c r="E43" s="69" t="str">
        <f t="shared" si="33"/>
        <v>PASS</v>
      </c>
      <c r="F43" s="69" t="str">
        <f t="shared" si="32"/>
        <v>FC</v>
      </c>
      <c r="G43" s="34" t="str">
        <f t="shared" si="29"/>
        <v>FC</v>
      </c>
      <c r="H43" s="31">
        <v>39</v>
      </c>
      <c r="I43" s="31">
        <v>24</v>
      </c>
      <c r="J43" s="31">
        <v>39</v>
      </c>
      <c r="K43" s="31">
        <v>18</v>
      </c>
      <c r="L43" s="31">
        <v>38</v>
      </c>
      <c r="M43" s="31">
        <v>20</v>
      </c>
      <c r="N43" s="31">
        <v>43</v>
      </c>
      <c r="O43" s="31">
        <v>25</v>
      </c>
      <c r="P43" s="31">
        <v>48</v>
      </c>
      <c r="Q43" s="31">
        <v>38</v>
      </c>
      <c r="R43" s="31">
        <v>40</v>
      </c>
      <c r="S43" s="31">
        <v>21</v>
      </c>
      <c r="T43" s="31">
        <v>38</v>
      </c>
      <c r="U43" s="31">
        <v>22</v>
      </c>
      <c r="V43" s="31">
        <v>35</v>
      </c>
      <c r="W43" s="31">
        <v>24</v>
      </c>
    </row>
    <row r="44" spans="1:23" s="15" customFormat="1" ht="14.15" x14ac:dyDescent="0.35">
      <c r="A44" s="69">
        <f>IF(B44&lt;&gt;"",COUNTA($B$35:B44),"")</f>
        <v>10</v>
      </c>
      <c r="B44" s="13" t="s">
        <v>64</v>
      </c>
      <c r="C44" s="13" t="s">
        <v>65</v>
      </c>
      <c r="D44" s="33">
        <f t="shared" si="31"/>
        <v>59.624999999999993</v>
      </c>
      <c r="E44" s="69" t="str">
        <f t="shared" si="33"/>
        <v>FAIL</v>
      </c>
      <c r="F44" s="69" t="str">
        <f t="shared" si="32"/>
        <v>FAIL</v>
      </c>
      <c r="G44" s="34" t="str">
        <f t="shared" si="29"/>
        <v>SC</v>
      </c>
      <c r="H44" s="31">
        <v>36</v>
      </c>
      <c r="I44" s="31">
        <v>27</v>
      </c>
      <c r="J44" s="31">
        <v>35</v>
      </c>
      <c r="K44" s="31">
        <v>10</v>
      </c>
      <c r="L44" s="31">
        <v>31</v>
      </c>
      <c r="M44" s="31">
        <v>12</v>
      </c>
      <c r="N44" s="31">
        <v>45</v>
      </c>
      <c r="O44" s="31">
        <v>25</v>
      </c>
      <c r="P44" s="31">
        <v>48</v>
      </c>
      <c r="Q44" s="31">
        <v>32</v>
      </c>
      <c r="R44" s="31">
        <v>50</v>
      </c>
      <c r="S44" s="31">
        <v>24</v>
      </c>
      <c r="T44" s="31">
        <v>39</v>
      </c>
      <c r="U44" s="31">
        <v>3</v>
      </c>
      <c r="V44" s="31">
        <v>37</v>
      </c>
      <c r="W44" s="31">
        <v>23</v>
      </c>
    </row>
    <row r="45" spans="1:23" s="15" customFormat="1" ht="14.15" x14ac:dyDescent="0.35">
      <c r="A45" s="69">
        <f>IF(B45&lt;&gt;"",COUNTA($B$35:B45),"")</f>
        <v>11</v>
      </c>
      <c r="B45" s="13" t="s">
        <v>66</v>
      </c>
      <c r="C45" s="13" t="s">
        <v>67</v>
      </c>
      <c r="D45" s="33">
        <f t="shared" si="31"/>
        <v>62.125</v>
      </c>
      <c r="E45" s="69" t="str">
        <f t="shared" si="33"/>
        <v>PASS</v>
      </c>
      <c r="F45" s="69" t="str">
        <f t="shared" si="32"/>
        <v>FC</v>
      </c>
      <c r="G45" s="34" t="str">
        <f t="shared" si="29"/>
        <v>FC</v>
      </c>
      <c r="H45" s="31">
        <v>35</v>
      </c>
      <c r="I45" s="31">
        <v>18</v>
      </c>
      <c r="J45" s="31">
        <v>38</v>
      </c>
      <c r="K45" s="31">
        <v>18</v>
      </c>
      <c r="L45" s="31">
        <v>35</v>
      </c>
      <c r="M45" s="31">
        <v>20</v>
      </c>
      <c r="N45" s="31">
        <v>43</v>
      </c>
      <c r="O45" s="31">
        <v>24</v>
      </c>
      <c r="P45" s="31">
        <v>48</v>
      </c>
      <c r="Q45" s="31">
        <v>36</v>
      </c>
      <c r="R45" s="31">
        <v>35</v>
      </c>
      <c r="S45" s="31">
        <v>28</v>
      </c>
      <c r="T45" s="31">
        <v>40</v>
      </c>
      <c r="U45" s="31">
        <v>18</v>
      </c>
      <c r="V45" s="31">
        <v>39</v>
      </c>
      <c r="W45" s="31">
        <v>22</v>
      </c>
    </row>
    <row r="46" spans="1:23" s="15" customFormat="1" ht="14.15" x14ac:dyDescent="0.35">
      <c r="A46" s="69">
        <f>IF(B46&lt;&gt;"",COUNTA($B$35:B46),"")</f>
        <v>12</v>
      </c>
      <c r="B46" s="13" t="s">
        <v>68</v>
      </c>
      <c r="C46" s="13" t="s">
        <v>69</v>
      </c>
      <c r="D46" s="33">
        <f t="shared" si="31"/>
        <v>64.875</v>
      </c>
      <c r="E46" s="69" t="str">
        <f t="shared" si="33"/>
        <v>FAIL</v>
      </c>
      <c r="F46" s="69" t="str">
        <f t="shared" si="32"/>
        <v>FAIL</v>
      </c>
      <c r="G46" s="34" t="str">
        <f t="shared" si="29"/>
        <v>FC</v>
      </c>
      <c r="H46" s="31">
        <v>35</v>
      </c>
      <c r="I46" s="31">
        <v>6</v>
      </c>
      <c r="J46" s="31">
        <v>43</v>
      </c>
      <c r="K46" s="31">
        <v>29</v>
      </c>
      <c r="L46" s="31">
        <v>35</v>
      </c>
      <c r="M46" s="31">
        <v>22</v>
      </c>
      <c r="N46" s="31">
        <v>44</v>
      </c>
      <c r="O46" s="31">
        <v>22</v>
      </c>
      <c r="P46" s="31">
        <v>48</v>
      </c>
      <c r="Q46" s="31">
        <v>36</v>
      </c>
      <c r="R46" s="31">
        <v>50</v>
      </c>
      <c r="S46" s="31">
        <v>23</v>
      </c>
      <c r="T46" s="31">
        <v>38</v>
      </c>
      <c r="U46" s="31">
        <v>18</v>
      </c>
      <c r="V46" s="31">
        <v>43</v>
      </c>
      <c r="W46" s="31">
        <v>27</v>
      </c>
    </row>
    <row r="47" spans="1:23" s="15" customFormat="1" ht="14.15" x14ac:dyDescent="0.35">
      <c r="A47" s="69">
        <f>IF(B47&lt;&gt;"",COUNTA($B$35:B47),"")</f>
        <v>13</v>
      </c>
      <c r="B47" s="13" t="s">
        <v>70</v>
      </c>
      <c r="C47" s="13" t="s">
        <v>71</v>
      </c>
      <c r="D47" s="33">
        <f t="shared" si="31"/>
        <v>67.125</v>
      </c>
      <c r="E47" s="69" t="str">
        <f t="shared" si="33"/>
        <v>PASS</v>
      </c>
      <c r="F47" s="69" t="str">
        <f t="shared" si="32"/>
        <v>FC</v>
      </c>
      <c r="G47" s="34" t="str">
        <f t="shared" si="29"/>
        <v>FC</v>
      </c>
      <c r="H47" s="31">
        <v>41</v>
      </c>
      <c r="I47" s="31">
        <v>26</v>
      </c>
      <c r="J47" s="31">
        <v>45</v>
      </c>
      <c r="K47" s="31">
        <v>18</v>
      </c>
      <c r="L47" s="31">
        <v>36</v>
      </c>
      <c r="M47" s="31">
        <v>24</v>
      </c>
      <c r="N47" s="31">
        <v>44</v>
      </c>
      <c r="O47" s="31">
        <v>19</v>
      </c>
      <c r="P47" s="31">
        <v>48</v>
      </c>
      <c r="Q47" s="31">
        <v>33</v>
      </c>
      <c r="R47" s="31">
        <v>50</v>
      </c>
      <c r="S47" s="31">
        <v>23</v>
      </c>
      <c r="T47" s="31">
        <v>38</v>
      </c>
      <c r="U47" s="31">
        <v>22</v>
      </c>
      <c r="V47" s="31">
        <v>39</v>
      </c>
      <c r="W47" s="31">
        <v>31</v>
      </c>
    </row>
    <row r="48" spans="1:23" s="15" customFormat="1" ht="14.15" x14ac:dyDescent="0.35">
      <c r="A48" s="69">
        <f>IF(B48&lt;&gt;"",COUNTA($B$35:B48),"")</f>
        <v>14</v>
      </c>
      <c r="B48" s="13" t="s">
        <v>72</v>
      </c>
      <c r="C48" s="13" t="s">
        <v>73</v>
      </c>
      <c r="D48" s="33">
        <f t="shared" si="31"/>
        <v>73.75</v>
      </c>
      <c r="E48" s="69" t="str">
        <f t="shared" si="33"/>
        <v>PASS</v>
      </c>
      <c r="F48" s="69" t="str">
        <f t="shared" si="32"/>
        <v>FCD</v>
      </c>
      <c r="G48" s="34" t="str">
        <f t="shared" si="29"/>
        <v>FCD</v>
      </c>
      <c r="H48" s="31">
        <v>40</v>
      </c>
      <c r="I48" s="31">
        <v>36</v>
      </c>
      <c r="J48" s="31">
        <v>47</v>
      </c>
      <c r="K48" s="31">
        <v>36</v>
      </c>
      <c r="L48" s="31">
        <v>43</v>
      </c>
      <c r="M48" s="31">
        <v>23</v>
      </c>
      <c r="N48" s="31">
        <v>45</v>
      </c>
      <c r="O48" s="31">
        <v>32</v>
      </c>
      <c r="P48" s="31">
        <v>47</v>
      </c>
      <c r="Q48" s="31">
        <v>27</v>
      </c>
      <c r="R48" s="31">
        <v>48</v>
      </c>
      <c r="S48" s="31">
        <v>22</v>
      </c>
      <c r="T48" s="31">
        <v>47</v>
      </c>
      <c r="U48" s="31">
        <v>31</v>
      </c>
      <c r="V48" s="31">
        <v>41</v>
      </c>
      <c r="W48" s="31">
        <v>25</v>
      </c>
    </row>
    <row r="49" spans="1:23" s="15" customFormat="1" ht="14.15" x14ac:dyDescent="0.35">
      <c r="A49" s="69">
        <f>IF(B49&lt;&gt;"",COUNTA($B$35:B49),"")</f>
        <v>15</v>
      </c>
      <c r="B49" s="13" t="s">
        <v>74</v>
      </c>
      <c r="C49" s="13" t="s">
        <v>75</v>
      </c>
      <c r="D49" s="33">
        <f t="shared" si="31"/>
        <v>57.499999999999993</v>
      </c>
      <c r="E49" s="69" t="str">
        <f t="shared" si="33"/>
        <v>FAIL</v>
      </c>
      <c r="F49" s="69" t="str">
        <f t="shared" si="32"/>
        <v>FAIL</v>
      </c>
      <c r="G49" s="34" t="str">
        <f t="shared" si="29"/>
        <v>SC</v>
      </c>
      <c r="H49" s="31">
        <v>39</v>
      </c>
      <c r="I49" s="31">
        <v>13</v>
      </c>
      <c r="J49" s="31">
        <v>43</v>
      </c>
      <c r="K49" s="31">
        <v>20</v>
      </c>
      <c r="L49" s="31">
        <v>30</v>
      </c>
      <c r="M49" s="31">
        <v>12</v>
      </c>
      <c r="N49" s="31">
        <v>45</v>
      </c>
      <c r="O49" s="31">
        <v>18</v>
      </c>
      <c r="P49" s="31">
        <v>45</v>
      </c>
      <c r="Q49" s="31">
        <v>32</v>
      </c>
      <c r="R49" s="31">
        <v>40</v>
      </c>
      <c r="S49" s="31">
        <v>14</v>
      </c>
      <c r="T49" s="31">
        <v>37</v>
      </c>
      <c r="U49" s="31">
        <v>11</v>
      </c>
      <c r="V49" s="31">
        <v>43</v>
      </c>
      <c r="W49" s="31">
        <v>18</v>
      </c>
    </row>
    <row r="50" spans="1:23" s="15" customFormat="1" ht="14.15" x14ac:dyDescent="0.35">
      <c r="A50" s="69">
        <f>IF(B50&lt;&gt;"",COUNTA($B$35:B50),"")</f>
        <v>16</v>
      </c>
      <c r="B50" s="13" t="s">
        <v>76</v>
      </c>
      <c r="C50" s="13" t="s">
        <v>77</v>
      </c>
      <c r="D50" s="33">
        <f t="shared" si="31"/>
        <v>61.750000000000007</v>
      </c>
      <c r="E50" s="69" t="str">
        <f t="shared" si="33"/>
        <v>FAIL</v>
      </c>
      <c r="F50" s="69" t="str">
        <f t="shared" si="32"/>
        <v>FAIL</v>
      </c>
      <c r="G50" s="34" t="str">
        <f t="shared" si="29"/>
        <v>FC</v>
      </c>
      <c r="H50" s="31">
        <v>46</v>
      </c>
      <c r="I50" s="31">
        <v>33</v>
      </c>
      <c r="J50" s="31">
        <v>42</v>
      </c>
      <c r="K50" s="31">
        <v>11</v>
      </c>
      <c r="L50" s="31">
        <v>35</v>
      </c>
      <c r="M50" s="31">
        <v>14</v>
      </c>
      <c r="N50" s="31">
        <v>47</v>
      </c>
      <c r="O50" s="31">
        <v>23</v>
      </c>
      <c r="P50" s="31">
        <v>46</v>
      </c>
      <c r="Q50" s="31">
        <v>18</v>
      </c>
      <c r="R50" s="31">
        <v>48</v>
      </c>
      <c r="S50" s="31">
        <v>19</v>
      </c>
      <c r="T50" s="31">
        <v>39</v>
      </c>
      <c r="U50" s="31">
        <v>14</v>
      </c>
      <c r="V50" s="31">
        <v>41</v>
      </c>
      <c r="W50" s="31">
        <v>18</v>
      </c>
    </row>
    <row r="51" spans="1:23" s="15" customFormat="1" ht="14.15" x14ac:dyDescent="0.35">
      <c r="A51" s="69">
        <f>IF(B51&lt;&gt;"",COUNTA($B$35:B51),"")</f>
        <v>17</v>
      </c>
      <c r="B51" s="13" t="s">
        <v>78</v>
      </c>
      <c r="C51" s="13" t="s">
        <v>79</v>
      </c>
      <c r="D51" s="33">
        <f t="shared" si="31"/>
        <v>60.124999999999993</v>
      </c>
      <c r="E51" s="69" t="str">
        <f t="shared" si="33"/>
        <v>FAIL</v>
      </c>
      <c r="F51" s="69" t="str">
        <f t="shared" si="32"/>
        <v>FAIL</v>
      </c>
      <c r="G51" s="34" t="str">
        <f t="shared" si="29"/>
        <v>FC</v>
      </c>
      <c r="H51" s="31">
        <v>40</v>
      </c>
      <c r="I51" s="31">
        <v>9</v>
      </c>
      <c r="J51" s="31">
        <v>36</v>
      </c>
      <c r="K51" s="31">
        <v>18</v>
      </c>
      <c r="L51" s="31">
        <v>32</v>
      </c>
      <c r="M51" s="31">
        <v>21</v>
      </c>
      <c r="N51" s="31">
        <v>44</v>
      </c>
      <c r="O51" s="31">
        <v>18</v>
      </c>
      <c r="P51" s="31">
        <v>45</v>
      </c>
      <c r="Q51" s="31">
        <v>27</v>
      </c>
      <c r="R51" s="31">
        <v>50</v>
      </c>
      <c r="S51" s="31">
        <v>24</v>
      </c>
      <c r="T51" s="31">
        <v>36</v>
      </c>
      <c r="U51" s="31">
        <v>22</v>
      </c>
      <c r="V51" s="31">
        <v>40</v>
      </c>
      <c r="W51" s="31">
        <v>19</v>
      </c>
    </row>
    <row r="52" spans="1:23" s="15" customFormat="1" ht="14.15" x14ac:dyDescent="0.35">
      <c r="A52" s="69">
        <f>IF(B52&lt;&gt;"",COUNTA($B$35:B52),"")</f>
        <v>18</v>
      </c>
      <c r="B52" s="13" t="s">
        <v>80</v>
      </c>
      <c r="C52" s="13" t="s">
        <v>81</v>
      </c>
      <c r="D52" s="33">
        <f t="shared" si="31"/>
        <v>69.75</v>
      </c>
      <c r="E52" s="69" t="str">
        <f t="shared" si="33"/>
        <v>PASS</v>
      </c>
      <c r="F52" s="69" t="str">
        <f t="shared" si="32"/>
        <v>FC</v>
      </c>
      <c r="G52" s="34" t="str">
        <f t="shared" si="29"/>
        <v>FC</v>
      </c>
      <c r="H52" s="31">
        <v>39</v>
      </c>
      <c r="I52" s="31">
        <v>35</v>
      </c>
      <c r="J52" s="31">
        <v>44</v>
      </c>
      <c r="K52" s="31">
        <v>18</v>
      </c>
      <c r="L52" s="31">
        <v>37</v>
      </c>
      <c r="M52" s="31">
        <v>23</v>
      </c>
      <c r="N52" s="31">
        <v>46</v>
      </c>
      <c r="O52" s="31">
        <v>24</v>
      </c>
      <c r="P52" s="31">
        <v>45</v>
      </c>
      <c r="Q52" s="31">
        <v>28</v>
      </c>
      <c r="R52" s="31">
        <v>50</v>
      </c>
      <c r="S52" s="31">
        <v>23</v>
      </c>
      <c r="T52" s="31">
        <v>42</v>
      </c>
      <c r="U52" s="31">
        <v>32</v>
      </c>
      <c r="V52" s="31">
        <v>46</v>
      </c>
      <c r="W52" s="31">
        <v>26</v>
      </c>
    </row>
    <row r="53" spans="1:23" s="15" customFormat="1" ht="14.15" x14ac:dyDescent="0.35">
      <c r="A53" s="69">
        <f>IF(B53&lt;&gt;"",COUNTA($B$35:B53),"")</f>
        <v>19</v>
      </c>
      <c r="B53" s="13" t="s">
        <v>82</v>
      </c>
      <c r="C53" s="13" t="s">
        <v>83</v>
      </c>
      <c r="D53" s="33">
        <f t="shared" si="31"/>
        <v>78.25</v>
      </c>
      <c r="E53" s="69" t="str">
        <f t="shared" si="33"/>
        <v>PASS</v>
      </c>
      <c r="F53" s="69" t="str">
        <f t="shared" si="32"/>
        <v>FCD</v>
      </c>
      <c r="G53" s="34" t="str">
        <f t="shared" si="29"/>
        <v>FCD</v>
      </c>
      <c r="H53" s="31">
        <v>44</v>
      </c>
      <c r="I53" s="31">
        <v>38</v>
      </c>
      <c r="J53" s="31">
        <v>48</v>
      </c>
      <c r="K53" s="31">
        <v>31</v>
      </c>
      <c r="L53" s="31">
        <v>42</v>
      </c>
      <c r="M53" s="31">
        <v>33</v>
      </c>
      <c r="N53" s="31">
        <v>43</v>
      </c>
      <c r="O53" s="31">
        <v>28</v>
      </c>
      <c r="P53" s="31">
        <v>44</v>
      </c>
      <c r="Q53" s="31">
        <v>34</v>
      </c>
      <c r="R53" s="31">
        <v>50</v>
      </c>
      <c r="S53" s="31">
        <v>28</v>
      </c>
      <c r="T53" s="31">
        <v>49</v>
      </c>
      <c r="U53" s="31">
        <v>40</v>
      </c>
      <c r="V53" s="31">
        <v>49</v>
      </c>
      <c r="W53" s="31">
        <v>25</v>
      </c>
    </row>
    <row r="54" spans="1:23" s="15" customFormat="1" ht="14.15" x14ac:dyDescent="0.35">
      <c r="A54" s="69">
        <f>IF(B54&lt;&gt;"",COUNTA($B$35:B54),"")</f>
        <v>20</v>
      </c>
      <c r="B54" s="13" t="s">
        <v>84</v>
      </c>
      <c r="C54" s="13" t="s">
        <v>85</v>
      </c>
      <c r="D54" s="33">
        <f t="shared" si="31"/>
        <v>72.5</v>
      </c>
      <c r="E54" s="69" t="str">
        <f t="shared" si="33"/>
        <v>PASS</v>
      </c>
      <c r="F54" s="69" t="str">
        <f t="shared" si="32"/>
        <v>FCD</v>
      </c>
      <c r="G54" s="34" t="str">
        <f t="shared" si="29"/>
        <v>FCD</v>
      </c>
      <c r="H54" s="31">
        <v>42</v>
      </c>
      <c r="I54" s="31">
        <v>24</v>
      </c>
      <c r="J54" s="31">
        <v>45</v>
      </c>
      <c r="K54" s="31">
        <v>24</v>
      </c>
      <c r="L54" s="31">
        <v>44</v>
      </c>
      <c r="M54" s="31">
        <v>20</v>
      </c>
      <c r="N54" s="31">
        <v>48</v>
      </c>
      <c r="O54" s="31">
        <v>27</v>
      </c>
      <c r="P54" s="31">
        <v>46</v>
      </c>
      <c r="Q54" s="31">
        <v>25</v>
      </c>
      <c r="R54" s="31">
        <v>50</v>
      </c>
      <c r="S54" s="31">
        <v>27</v>
      </c>
      <c r="T54" s="31">
        <v>48</v>
      </c>
      <c r="U54" s="31">
        <v>37</v>
      </c>
      <c r="V54" s="31">
        <v>46</v>
      </c>
      <c r="W54" s="31">
        <v>27</v>
      </c>
    </row>
    <row r="55" spans="1:23" s="15" customFormat="1" ht="14.15" x14ac:dyDescent="0.35">
      <c r="A55" s="69">
        <f>IF(B55&lt;&gt;"",COUNTA($B$35:B55),"")</f>
        <v>21</v>
      </c>
      <c r="B55" s="13" t="s">
        <v>86</v>
      </c>
      <c r="C55" s="13" t="s">
        <v>87</v>
      </c>
      <c r="D55" s="33">
        <f t="shared" si="31"/>
        <v>60.124999999999993</v>
      </c>
      <c r="E55" s="69" t="str">
        <f t="shared" si="33"/>
        <v>PASS</v>
      </c>
      <c r="F55" s="69" t="str">
        <f t="shared" si="32"/>
        <v>FC</v>
      </c>
      <c r="G55" s="34" t="str">
        <f t="shared" si="29"/>
        <v>FC</v>
      </c>
      <c r="H55" s="31">
        <v>38</v>
      </c>
      <c r="I55" s="31">
        <v>18</v>
      </c>
      <c r="J55" s="31">
        <v>38</v>
      </c>
      <c r="K55" s="31">
        <v>18</v>
      </c>
      <c r="L55" s="31">
        <v>35</v>
      </c>
      <c r="M55" s="31">
        <v>18</v>
      </c>
      <c r="N55" s="31">
        <v>45</v>
      </c>
      <c r="O55" s="31">
        <v>18</v>
      </c>
      <c r="P55" s="31">
        <v>44</v>
      </c>
      <c r="Q55" s="31">
        <v>25</v>
      </c>
      <c r="R55" s="31">
        <v>50</v>
      </c>
      <c r="S55" s="31">
        <v>23</v>
      </c>
      <c r="T55" s="31">
        <v>38</v>
      </c>
      <c r="U55" s="31">
        <v>18</v>
      </c>
      <c r="V55" s="31">
        <v>37</v>
      </c>
      <c r="W55" s="31">
        <v>18</v>
      </c>
    </row>
    <row r="56" spans="1:23" s="15" customFormat="1" ht="14.15" x14ac:dyDescent="0.35">
      <c r="A56" s="69">
        <f>IF(B56&lt;&gt;"",COUNTA($B$35:B56),"")</f>
        <v>22</v>
      </c>
      <c r="B56" s="13" t="s">
        <v>88</v>
      </c>
      <c r="C56" s="13" t="s">
        <v>89</v>
      </c>
      <c r="D56" s="33">
        <f t="shared" si="31"/>
        <v>74.875</v>
      </c>
      <c r="E56" s="69" t="str">
        <f t="shared" si="33"/>
        <v>PASS</v>
      </c>
      <c r="F56" s="69" t="str">
        <f t="shared" si="32"/>
        <v>FCD</v>
      </c>
      <c r="G56" s="34" t="str">
        <f t="shared" si="29"/>
        <v>FCD</v>
      </c>
      <c r="H56" s="31">
        <v>47</v>
      </c>
      <c r="I56" s="31">
        <v>41</v>
      </c>
      <c r="J56" s="31">
        <v>46</v>
      </c>
      <c r="K56" s="31">
        <v>30</v>
      </c>
      <c r="L56" s="31">
        <v>38</v>
      </c>
      <c r="M56" s="31">
        <v>35</v>
      </c>
      <c r="N56" s="31">
        <v>44</v>
      </c>
      <c r="O56" s="31">
        <v>28</v>
      </c>
      <c r="P56" s="31">
        <v>46</v>
      </c>
      <c r="Q56" s="31">
        <v>33</v>
      </c>
      <c r="R56" s="31">
        <v>50</v>
      </c>
      <c r="S56" s="31">
        <v>18</v>
      </c>
      <c r="T56" s="31">
        <v>43</v>
      </c>
      <c r="U56" s="31">
        <v>28</v>
      </c>
      <c r="V56" s="31">
        <v>44</v>
      </c>
      <c r="W56" s="31">
        <v>28</v>
      </c>
    </row>
    <row r="57" spans="1:23" s="15" customFormat="1" ht="14.15" x14ac:dyDescent="0.35">
      <c r="A57" s="69">
        <f>IF(B57&lt;&gt;"",COUNTA($B$35:B57),"")</f>
        <v>23</v>
      </c>
      <c r="B57" s="13" t="s">
        <v>90</v>
      </c>
      <c r="C57" s="13" t="s">
        <v>91</v>
      </c>
      <c r="D57" s="33">
        <f t="shared" si="31"/>
        <v>76.75</v>
      </c>
      <c r="E57" s="69" t="str">
        <f t="shared" si="33"/>
        <v>PASS</v>
      </c>
      <c r="F57" s="69" t="str">
        <f t="shared" si="32"/>
        <v>FCD</v>
      </c>
      <c r="G57" s="34" t="str">
        <f t="shared" si="29"/>
        <v>FCD</v>
      </c>
      <c r="H57" s="31">
        <v>47</v>
      </c>
      <c r="I57" s="31">
        <v>37</v>
      </c>
      <c r="J57" s="31">
        <v>49</v>
      </c>
      <c r="K57" s="31">
        <v>27</v>
      </c>
      <c r="L57" s="31">
        <v>46</v>
      </c>
      <c r="M57" s="31">
        <v>25</v>
      </c>
      <c r="N57" s="31">
        <v>45</v>
      </c>
      <c r="O57" s="31">
        <v>26</v>
      </c>
      <c r="P57" s="31">
        <v>44</v>
      </c>
      <c r="Q57" s="31">
        <v>41</v>
      </c>
      <c r="R57" s="31">
        <v>40</v>
      </c>
      <c r="S57" s="31">
        <v>28</v>
      </c>
      <c r="T57" s="31">
        <v>49</v>
      </c>
      <c r="U57" s="31">
        <v>22</v>
      </c>
      <c r="V57" s="31">
        <v>50</v>
      </c>
      <c r="W57" s="31">
        <v>38</v>
      </c>
    </row>
    <row r="58" spans="1:23" s="15" customFormat="1" ht="14.15" x14ac:dyDescent="0.35">
      <c r="A58" s="69">
        <f>IF(B58&lt;&gt;"",COUNTA($B$35:B58),"")</f>
        <v>24</v>
      </c>
      <c r="B58" s="13" t="s">
        <v>92</v>
      </c>
      <c r="C58" s="13" t="s">
        <v>93</v>
      </c>
      <c r="D58" s="33">
        <f t="shared" si="31"/>
        <v>83.875</v>
      </c>
      <c r="E58" s="69" t="str">
        <f t="shared" si="33"/>
        <v>PASS</v>
      </c>
      <c r="F58" s="69" t="str">
        <f t="shared" si="32"/>
        <v>FCD</v>
      </c>
      <c r="G58" s="34" t="str">
        <f t="shared" si="29"/>
        <v>FCD</v>
      </c>
      <c r="H58" s="31">
        <v>50</v>
      </c>
      <c r="I58" s="31">
        <v>50</v>
      </c>
      <c r="J58" s="31">
        <v>49</v>
      </c>
      <c r="K58" s="31">
        <v>33</v>
      </c>
      <c r="L58" s="31">
        <v>50</v>
      </c>
      <c r="M58" s="31">
        <v>36</v>
      </c>
      <c r="N58" s="31">
        <v>46</v>
      </c>
      <c r="O58" s="31">
        <v>33</v>
      </c>
      <c r="P58" s="31">
        <v>46</v>
      </c>
      <c r="Q58" s="31">
        <v>38</v>
      </c>
      <c r="R58" s="31">
        <v>50</v>
      </c>
      <c r="S58" s="31">
        <v>26</v>
      </c>
      <c r="T58" s="31">
        <v>50</v>
      </c>
      <c r="U58" s="31">
        <v>33</v>
      </c>
      <c r="V58" s="31">
        <v>50</v>
      </c>
      <c r="W58" s="31">
        <v>31</v>
      </c>
    </row>
    <row r="59" spans="1:23" s="15" customFormat="1" ht="14.15" x14ac:dyDescent="0.35">
      <c r="A59" s="69">
        <f>IF(B59&lt;&gt;"",COUNTA($B$35:B59),"")</f>
        <v>25</v>
      </c>
      <c r="B59" s="13" t="s">
        <v>94</v>
      </c>
      <c r="C59" s="13" t="s">
        <v>95</v>
      </c>
      <c r="D59" s="33">
        <f t="shared" si="31"/>
        <v>62</v>
      </c>
      <c r="E59" s="69" t="str">
        <f t="shared" si="33"/>
        <v>PASS</v>
      </c>
      <c r="F59" s="69" t="str">
        <f t="shared" si="32"/>
        <v>FC</v>
      </c>
      <c r="G59" s="34" t="str">
        <f t="shared" si="29"/>
        <v>FC</v>
      </c>
      <c r="H59" s="31">
        <v>42</v>
      </c>
      <c r="I59" s="31">
        <v>18</v>
      </c>
      <c r="J59" s="31">
        <v>41</v>
      </c>
      <c r="K59" s="31">
        <v>18</v>
      </c>
      <c r="L59" s="31">
        <v>36</v>
      </c>
      <c r="M59" s="31">
        <v>18</v>
      </c>
      <c r="N59" s="31">
        <v>43</v>
      </c>
      <c r="O59" s="31">
        <v>20</v>
      </c>
      <c r="P59" s="31">
        <v>46</v>
      </c>
      <c r="Q59" s="31">
        <v>26</v>
      </c>
      <c r="R59" s="31">
        <v>50</v>
      </c>
      <c r="S59" s="31">
        <v>18</v>
      </c>
      <c r="T59" s="31">
        <v>38</v>
      </c>
      <c r="U59" s="31">
        <v>19</v>
      </c>
      <c r="V59" s="31">
        <v>45</v>
      </c>
      <c r="W59" s="31">
        <v>18</v>
      </c>
    </row>
    <row r="60" spans="1:23" s="15" customFormat="1" ht="14.15" x14ac:dyDescent="0.35">
      <c r="A60" s="69">
        <f>IF(B60&lt;&gt;"",COUNTA($B$35:B60),"")</f>
        <v>26</v>
      </c>
      <c r="B60" s="13" t="s">
        <v>96</v>
      </c>
      <c r="C60" s="13" t="s">
        <v>97</v>
      </c>
      <c r="D60" s="33">
        <f t="shared" si="31"/>
        <v>72.875</v>
      </c>
      <c r="E60" s="69" t="str">
        <f t="shared" si="33"/>
        <v>PASS</v>
      </c>
      <c r="F60" s="69" t="str">
        <f t="shared" si="32"/>
        <v>FCD</v>
      </c>
      <c r="G60" s="34" t="str">
        <f t="shared" si="29"/>
        <v>FCD</v>
      </c>
      <c r="H60" s="31">
        <v>43</v>
      </c>
      <c r="I60" s="31">
        <v>18</v>
      </c>
      <c r="J60" s="31">
        <v>48</v>
      </c>
      <c r="K60" s="31">
        <v>25</v>
      </c>
      <c r="L60" s="31">
        <v>44</v>
      </c>
      <c r="M60" s="31">
        <v>34</v>
      </c>
      <c r="N60" s="31">
        <v>44</v>
      </c>
      <c r="O60" s="31">
        <v>26</v>
      </c>
      <c r="P60" s="31">
        <v>46</v>
      </c>
      <c r="Q60" s="31">
        <v>30</v>
      </c>
      <c r="R60" s="31">
        <v>50</v>
      </c>
      <c r="S60" s="31">
        <v>23</v>
      </c>
      <c r="T60" s="31">
        <v>44</v>
      </c>
      <c r="U60" s="31">
        <v>30</v>
      </c>
      <c r="V60" s="31">
        <v>47</v>
      </c>
      <c r="W60" s="31">
        <v>31</v>
      </c>
    </row>
    <row r="61" spans="1:23" s="15" customFormat="1" ht="14.15" x14ac:dyDescent="0.35">
      <c r="A61" s="69">
        <f>IF(B61&lt;&gt;"",COUNTA($B$35:B61),"")</f>
        <v>27</v>
      </c>
      <c r="B61" s="13" t="s">
        <v>98</v>
      </c>
      <c r="C61" s="13" t="s">
        <v>99</v>
      </c>
      <c r="D61" s="33">
        <f t="shared" si="31"/>
        <v>84.875</v>
      </c>
      <c r="E61" s="69" t="str">
        <f t="shared" si="33"/>
        <v>PASS</v>
      </c>
      <c r="F61" s="69" t="str">
        <f t="shared" si="32"/>
        <v>FCD</v>
      </c>
      <c r="G61" s="34" t="str">
        <f t="shared" si="29"/>
        <v>FCD</v>
      </c>
      <c r="H61" s="31">
        <v>50</v>
      </c>
      <c r="I61" s="31">
        <v>47</v>
      </c>
      <c r="J61" s="31">
        <v>50</v>
      </c>
      <c r="K61" s="31">
        <v>33</v>
      </c>
      <c r="L61" s="31">
        <v>50</v>
      </c>
      <c r="M61" s="31">
        <v>43</v>
      </c>
      <c r="N61" s="31">
        <v>45</v>
      </c>
      <c r="O61" s="31">
        <v>33</v>
      </c>
      <c r="P61" s="31">
        <v>46</v>
      </c>
      <c r="Q61" s="31">
        <v>42</v>
      </c>
      <c r="R61" s="31">
        <v>50</v>
      </c>
      <c r="S61" s="31">
        <v>25</v>
      </c>
      <c r="T61" s="31">
        <v>49</v>
      </c>
      <c r="U61" s="31">
        <v>37</v>
      </c>
      <c r="V61" s="31">
        <v>50</v>
      </c>
      <c r="W61" s="31">
        <v>29</v>
      </c>
    </row>
    <row r="62" spans="1:23" s="15" customFormat="1" ht="14.15" x14ac:dyDescent="0.35">
      <c r="A62" s="69">
        <f>IF(B62&lt;&gt;"",COUNTA($B$35:B62),"")</f>
        <v>28</v>
      </c>
      <c r="B62" s="13" t="s">
        <v>100</v>
      </c>
      <c r="C62" s="13" t="s">
        <v>101</v>
      </c>
      <c r="D62" s="33">
        <f t="shared" si="31"/>
        <v>67.5</v>
      </c>
      <c r="E62" s="69" t="str">
        <f t="shared" si="33"/>
        <v>PASS</v>
      </c>
      <c r="F62" s="69" t="str">
        <f t="shared" si="32"/>
        <v>FC</v>
      </c>
      <c r="G62" s="34" t="str">
        <f t="shared" si="29"/>
        <v>FC</v>
      </c>
      <c r="H62" s="31">
        <v>38</v>
      </c>
      <c r="I62" s="31">
        <v>29</v>
      </c>
      <c r="J62" s="31">
        <v>40</v>
      </c>
      <c r="K62" s="31">
        <v>20</v>
      </c>
      <c r="L62" s="31">
        <v>37</v>
      </c>
      <c r="M62" s="31">
        <v>26</v>
      </c>
      <c r="N62" s="31">
        <v>45</v>
      </c>
      <c r="O62" s="31">
        <v>33</v>
      </c>
      <c r="P62" s="31">
        <v>44</v>
      </c>
      <c r="Q62" s="31">
        <v>34</v>
      </c>
      <c r="R62" s="31">
        <v>40</v>
      </c>
      <c r="S62" s="31">
        <v>24</v>
      </c>
      <c r="T62" s="31">
        <v>43</v>
      </c>
      <c r="U62" s="31">
        <v>23</v>
      </c>
      <c r="V62" s="31">
        <v>46</v>
      </c>
      <c r="W62" s="31">
        <v>18</v>
      </c>
    </row>
    <row r="63" spans="1:23" s="15" customFormat="1" ht="14.15" x14ac:dyDescent="0.35">
      <c r="A63" s="69">
        <f>IF(B63&lt;&gt;"",COUNTA($B$35:B63),"")</f>
        <v>29</v>
      </c>
      <c r="B63" s="13" t="s">
        <v>102</v>
      </c>
      <c r="C63" s="13" t="s">
        <v>103</v>
      </c>
      <c r="D63" s="33">
        <f t="shared" si="31"/>
        <v>71.125</v>
      </c>
      <c r="E63" s="69" t="str">
        <f t="shared" si="33"/>
        <v>PASS</v>
      </c>
      <c r="F63" s="69" t="str">
        <f t="shared" si="32"/>
        <v>FCD</v>
      </c>
      <c r="G63" s="34" t="str">
        <f t="shared" si="29"/>
        <v>FCD</v>
      </c>
      <c r="H63" s="31">
        <v>43</v>
      </c>
      <c r="I63" s="31">
        <v>21</v>
      </c>
      <c r="J63" s="31">
        <v>45</v>
      </c>
      <c r="K63" s="31">
        <v>19</v>
      </c>
      <c r="L63" s="31">
        <v>42</v>
      </c>
      <c r="M63" s="31">
        <v>24</v>
      </c>
      <c r="N63" s="31">
        <v>48</v>
      </c>
      <c r="O63" s="31">
        <v>27</v>
      </c>
      <c r="P63" s="31">
        <v>46</v>
      </c>
      <c r="Q63" s="31">
        <v>41</v>
      </c>
      <c r="R63" s="31">
        <v>50</v>
      </c>
      <c r="S63" s="31">
        <v>29</v>
      </c>
      <c r="T63" s="31">
        <v>40</v>
      </c>
      <c r="U63" s="31">
        <v>18</v>
      </c>
      <c r="V63" s="31">
        <v>46</v>
      </c>
      <c r="W63" s="31">
        <v>30</v>
      </c>
    </row>
    <row r="64" spans="1:23" s="15" customFormat="1" ht="14.15" x14ac:dyDescent="0.35">
      <c r="A64" s="69">
        <f>IF(B64&lt;&gt;"",COUNTA($B$35:B64),"")</f>
        <v>30</v>
      </c>
      <c r="B64" s="13" t="s">
        <v>104</v>
      </c>
      <c r="C64" s="13" t="s">
        <v>105</v>
      </c>
      <c r="D64" s="33">
        <f t="shared" si="31"/>
        <v>58.625000000000007</v>
      </c>
      <c r="E64" s="69" t="str">
        <f t="shared" si="33"/>
        <v>FAIL</v>
      </c>
      <c r="F64" s="69" t="str">
        <f t="shared" si="32"/>
        <v>FAIL</v>
      </c>
      <c r="G64" s="34" t="str">
        <f t="shared" si="29"/>
        <v>SC</v>
      </c>
      <c r="H64" s="31">
        <v>35</v>
      </c>
      <c r="I64" s="31">
        <v>7</v>
      </c>
      <c r="J64" s="31">
        <v>39</v>
      </c>
      <c r="K64" s="31">
        <v>12</v>
      </c>
      <c r="L64" s="31">
        <v>35</v>
      </c>
      <c r="M64" s="31">
        <v>26</v>
      </c>
      <c r="N64" s="31">
        <v>44</v>
      </c>
      <c r="O64" s="31">
        <v>18</v>
      </c>
      <c r="P64" s="31">
        <v>43</v>
      </c>
      <c r="Q64" s="31">
        <v>27</v>
      </c>
      <c r="R64" s="31">
        <v>35</v>
      </c>
      <c r="S64" s="31">
        <v>19</v>
      </c>
      <c r="T64" s="31">
        <v>39</v>
      </c>
      <c r="U64" s="31">
        <v>25</v>
      </c>
      <c r="V64" s="31">
        <v>38</v>
      </c>
      <c r="W64" s="31">
        <v>27</v>
      </c>
    </row>
    <row r="65" spans="1:23" s="15" customFormat="1" ht="14.15" x14ac:dyDescent="0.35">
      <c r="A65" s="69">
        <f>IF(B65&lt;&gt;"",COUNTA($B$35:B65),"")</f>
        <v>31</v>
      </c>
      <c r="B65" s="13" t="s">
        <v>106</v>
      </c>
      <c r="C65" s="13" t="s">
        <v>107</v>
      </c>
      <c r="D65" s="33">
        <f t="shared" si="31"/>
        <v>58.25</v>
      </c>
      <c r="E65" s="69" t="str">
        <f t="shared" si="33"/>
        <v>FAIL</v>
      </c>
      <c r="F65" s="69" t="str">
        <f t="shared" si="32"/>
        <v>FAIL</v>
      </c>
      <c r="G65" s="34" t="str">
        <f t="shared" si="29"/>
        <v>SC</v>
      </c>
      <c r="H65" s="31">
        <v>39</v>
      </c>
      <c r="I65" s="31">
        <v>8</v>
      </c>
      <c r="J65" s="31">
        <v>43</v>
      </c>
      <c r="K65" s="31">
        <v>13</v>
      </c>
      <c r="L65" s="31">
        <v>35</v>
      </c>
      <c r="M65" s="31">
        <v>12</v>
      </c>
      <c r="N65" s="31">
        <v>43</v>
      </c>
      <c r="O65" s="31">
        <v>20</v>
      </c>
      <c r="P65" s="31">
        <v>45</v>
      </c>
      <c r="Q65" s="31">
        <v>21</v>
      </c>
      <c r="R65" s="31">
        <v>50</v>
      </c>
      <c r="S65" s="31">
        <v>18</v>
      </c>
      <c r="T65" s="31">
        <v>38</v>
      </c>
      <c r="U65" s="31">
        <v>19</v>
      </c>
      <c r="V65" s="31">
        <v>44</v>
      </c>
      <c r="W65" s="31">
        <v>18</v>
      </c>
    </row>
    <row r="66" spans="1:23" s="15" customFormat="1" ht="14.15" x14ac:dyDescent="0.35">
      <c r="A66" s="69">
        <f>IF(B66&lt;&gt;"",COUNTA($B$35:B66),"")</f>
        <v>32</v>
      </c>
      <c r="B66" s="13" t="s">
        <v>108</v>
      </c>
      <c r="C66" s="13" t="s">
        <v>109</v>
      </c>
      <c r="D66" s="33">
        <f t="shared" si="31"/>
        <v>70</v>
      </c>
      <c r="E66" s="69" t="str">
        <f t="shared" si="33"/>
        <v>PASS</v>
      </c>
      <c r="F66" s="69" t="str">
        <f t="shared" si="32"/>
        <v>FCD</v>
      </c>
      <c r="G66" s="34" t="str">
        <f t="shared" si="29"/>
        <v>FCD</v>
      </c>
      <c r="H66" s="31">
        <v>38</v>
      </c>
      <c r="I66" s="31">
        <v>38</v>
      </c>
      <c r="J66" s="31">
        <v>45</v>
      </c>
      <c r="K66" s="31">
        <v>21</v>
      </c>
      <c r="L66" s="31">
        <v>39</v>
      </c>
      <c r="M66" s="31">
        <v>19</v>
      </c>
      <c r="N66" s="31">
        <v>42</v>
      </c>
      <c r="O66" s="31">
        <v>25</v>
      </c>
      <c r="P66" s="31">
        <v>45</v>
      </c>
      <c r="Q66" s="31">
        <v>24</v>
      </c>
      <c r="R66" s="31">
        <v>50</v>
      </c>
      <c r="S66" s="31">
        <v>24</v>
      </c>
      <c r="T66" s="31">
        <v>42</v>
      </c>
      <c r="U66" s="31">
        <v>27</v>
      </c>
      <c r="V66" s="31">
        <v>48</v>
      </c>
      <c r="W66" s="31">
        <v>33</v>
      </c>
    </row>
    <row r="67" spans="1:23" s="15" customFormat="1" ht="14.15" x14ac:dyDescent="0.35">
      <c r="A67" s="69">
        <f>IF(B67&lt;&gt;"",COUNTA($B$35:B67),"")</f>
        <v>33</v>
      </c>
      <c r="B67" s="13" t="s">
        <v>110</v>
      </c>
      <c r="C67" s="13" t="s">
        <v>111</v>
      </c>
      <c r="D67" s="33">
        <f t="shared" si="31"/>
        <v>67.75</v>
      </c>
      <c r="E67" s="69" t="str">
        <f t="shared" si="33"/>
        <v>FAIL</v>
      </c>
      <c r="F67" s="69" t="str">
        <f t="shared" si="32"/>
        <v>FAIL</v>
      </c>
      <c r="G67" s="34" t="str">
        <f t="shared" si="29"/>
        <v>FC</v>
      </c>
      <c r="H67" s="31">
        <v>41</v>
      </c>
      <c r="I67" s="31">
        <v>25</v>
      </c>
      <c r="J67" s="31">
        <v>47</v>
      </c>
      <c r="K67" s="31">
        <v>23</v>
      </c>
      <c r="L67" s="31">
        <v>40</v>
      </c>
      <c r="M67" s="31">
        <v>25</v>
      </c>
      <c r="N67" s="31">
        <v>44</v>
      </c>
      <c r="O67" s="31">
        <v>15</v>
      </c>
      <c r="P67" s="31">
        <v>45</v>
      </c>
      <c r="Q67" s="31">
        <v>12</v>
      </c>
      <c r="R67" s="31">
        <v>50</v>
      </c>
      <c r="S67" s="31">
        <v>24</v>
      </c>
      <c r="T67" s="31">
        <v>43</v>
      </c>
      <c r="U67" s="31">
        <v>27</v>
      </c>
      <c r="V67" s="31">
        <v>48</v>
      </c>
      <c r="W67" s="31">
        <v>33</v>
      </c>
    </row>
    <row r="68" spans="1:23" s="15" customFormat="1" ht="14.15" x14ac:dyDescent="0.35">
      <c r="A68" s="69">
        <f>IF(B68&lt;&gt;"",COUNTA($B$35:B68),"")</f>
        <v>34</v>
      </c>
      <c r="B68" s="13" t="s">
        <v>112</v>
      </c>
      <c r="C68" s="13" t="s">
        <v>113</v>
      </c>
      <c r="D68" s="33">
        <f t="shared" si="31"/>
        <v>78.5</v>
      </c>
      <c r="E68" s="69" t="str">
        <f t="shared" si="33"/>
        <v>PASS</v>
      </c>
      <c r="F68" s="69" t="str">
        <f t="shared" si="32"/>
        <v>FCD</v>
      </c>
      <c r="G68" s="34" t="str">
        <f t="shared" si="29"/>
        <v>FCD</v>
      </c>
      <c r="H68" s="31">
        <v>42</v>
      </c>
      <c r="I68" s="31">
        <v>34</v>
      </c>
      <c r="J68" s="31">
        <v>46</v>
      </c>
      <c r="K68" s="31">
        <v>33</v>
      </c>
      <c r="L68" s="31">
        <v>45</v>
      </c>
      <c r="M68" s="31">
        <v>23</v>
      </c>
      <c r="N68" s="31">
        <v>45</v>
      </c>
      <c r="O68" s="31">
        <v>31</v>
      </c>
      <c r="P68" s="31">
        <v>45</v>
      </c>
      <c r="Q68" s="31">
        <v>42</v>
      </c>
      <c r="R68" s="31">
        <v>50</v>
      </c>
      <c r="S68" s="31">
        <v>23</v>
      </c>
      <c r="T68" s="31">
        <v>44</v>
      </c>
      <c r="U68" s="31">
        <v>40</v>
      </c>
      <c r="V68" s="31">
        <v>49</v>
      </c>
      <c r="W68" s="31">
        <v>36</v>
      </c>
    </row>
    <row r="69" spans="1:23" s="15" customFormat="1" ht="14.15" x14ac:dyDescent="0.35">
      <c r="A69" s="69">
        <f>IF(B69&lt;&gt;"",COUNTA($B$35:B69),"")</f>
        <v>35</v>
      </c>
      <c r="B69" s="13" t="s">
        <v>114</v>
      </c>
      <c r="C69" s="13" t="s">
        <v>115</v>
      </c>
      <c r="D69" s="33">
        <f t="shared" si="31"/>
        <v>68.875</v>
      </c>
      <c r="E69" s="69" t="str">
        <f t="shared" si="33"/>
        <v>PASS</v>
      </c>
      <c r="F69" s="69" t="str">
        <f t="shared" si="32"/>
        <v>FC</v>
      </c>
      <c r="G69" s="34" t="str">
        <f t="shared" si="29"/>
        <v>FC</v>
      </c>
      <c r="H69" s="31">
        <v>43</v>
      </c>
      <c r="I69" s="31">
        <v>23</v>
      </c>
      <c r="J69" s="31">
        <v>44</v>
      </c>
      <c r="K69" s="31">
        <v>31</v>
      </c>
      <c r="L69" s="31">
        <v>37</v>
      </c>
      <c r="M69" s="31">
        <v>23</v>
      </c>
      <c r="N69" s="31">
        <v>46</v>
      </c>
      <c r="O69" s="31">
        <v>26</v>
      </c>
      <c r="P69" s="31">
        <v>45</v>
      </c>
      <c r="Q69" s="31">
        <v>31</v>
      </c>
      <c r="R69" s="31">
        <v>50</v>
      </c>
      <c r="S69" s="31">
        <v>25</v>
      </c>
      <c r="T69" s="31">
        <v>42</v>
      </c>
      <c r="U69" s="31">
        <v>21</v>
      </c>
      <c r="V69" s="31">
        <v>46</v>
      </c>
      <c r="W69" s="31">
        <v>18</v>
      </c>
    </row>
    <row r="70" spans="1:23" s="15" customFormat="1" ht="14.15" x14ac:dyDescent="0.35">
      <c r="A70" s="69">
        <f>IF(B70&lt;&gt;"",COUNTA($B$35:B70),"")</f>
        <v>36</v>
      </c>
      <c r="B70" s="13" t="s">
        <v>116</v>
      </c>
      <c r="C70" s="13" t="s">
        <v>117</v>
      </c>
      <c r="D70" s="33">
        <f t="shared" si="31"/>
        <v>78.5</v>
      </c>
      <c r="E70" s="69" t="str">
        <f t="shared" si="33"/>
        <v>PASS</v>
      </c>
      <c r="F70" s="69" t="str">
        <f t="shared" si="32"/>
        <v>FCD</v>
      </c>
      <c r="G70" s="34" t="str">
        <f t="shared" si="29"/>
        <v>FCD</v>
      </c>
      <c r="H70" s="31">
        <v>47</v>
      </c>
      <c r="I70" s="31">
        <v>38</v>
      </c>
      <c r="J70" s="31">
        <v>47</v>
      </c>
      <c r="K70" s="31">
        <v>23</v>
      </c>
      <c r="L70" s="31">
        <v>41</v>
      </c>
      <c r="M70" s="31">
        <v>35</v>
      </c>
      <c r="N70" s="31">
        <v>47</v>
      </c>
      <c r="O70" s="31">
        <v>30</v>
      </c>
      <c r="P70" s="31">
        <v>46</v>
      </c>
      <c r="Q70" s="31">
        <v>38</v>
      </c>
      <c r="R70" s="31">
        <v>50</v>
      </c>
      <c r="S70" s="31">
        <v>29</v>
      </c>
      <c r="T70" s="31">
        <v>46</v>
      </c>
      <c r="U70" s="31">
        <v>27</v>
      </c>
      <c r="V70" s="31">
        <v>49</v>
      </c>
      <c r="W70" s="31">
        <v>35</v>
      </c>
    </row>
    <row r="71" spans="1:23" s="15" customFormat="1" ht="14.15" x14ac:dyDescent="0.35">
      <c r="A71" s="69">
        <f>IF(B71&lt;&gt;"",COUNTA($B$35:B71),"")</f>
        <v>37</v>
      </c>
      <c r="B71" s="13" t="s">
        <v>118</v>
      </c>
      <c r="C71" s="13" t="s">
        <v>119</v>
      </c>
      <c r="D71" s="33">
        <f t="shared" si="31"/>
        <v>75.25</v>
      </c>
      <c r="E71" s="69" t="str">
        <f t="shared" si="33"/>
        <v>PASS</v>
      </c>
      <c r="F71" s="69" t="str">
        <f t="shared" si="32"/>
        <v>FCD</v>
      </c>
      <c r="G71" s="34" t="str">
        <f t="shared" si="29"/>
        <v>FCD</v>
      </c>
      <c r="H71" s="31">
        <v>44</v>
      </c>
      <c r="I71" s="31">
        <v>40</v>
      </c>
      <c r="J71" s="31">
        <v>46</v>
      </c>
      <c r="K71" s="31">
        <v>26</v>
      </c>
      <c r="L71" s="31">
        <v>46</v>
      </c>
      <c r="M71" s="31">
        <v>32</v>
      </c>
      <c r="N71" s="31">
        <v>48</v>
      </c>
      <c r="O71" s="31">
        <v>31</v>
      </c>
      <c r="P71" s="31">
        <v>44</v>
      </c>
      <c r="Q71" s="31">
        <v>33</v>
      </c>
      <c r="R71" s="31">
        <v>50</v>
      </c>
      <c r="S71" s="31">
        <v>27</v>
      </c>
      <c r="T71" s="31">
        <v>40</v>
      </c>
      <c r="U71" s="31">
        <v>18</v>
      </c>
      <c r="V71" s="31">
        <v>47</v>
      </c>
      <c r="W71" s="31">
        <v>30</v>
      </c>
    </row>
    <row r="72" spans="1:23" s="15" customFormat="1" ht="14.15" x14ac:dyDescent="0.35">
      <c r="A72" s="69">
        <f>IF(B72&lt;&gt;"",COUNTA($B$35:B72),"")</f>
        <v>38</v>
      </c>
      <c r="B72" s="13" t="s">
        <v>120</v>
      </c>
      <c r="C72" s="13" t="s">
        <v>121</v>
      </c>
      <c r="D72" s="33">
        <f t="shared" si="31"/>
        <v>78.625</v>
      </c>
      <c r="E72" s="69" t="str">
        <f t="shared" si="33"/>
        <v>PASS</v>
      </c>
      <c r="F72" s="69" t="str">
        <f t="shared" si="32"/>
        <v>FCD</v>
      </c>
      <c r="G72" s="34" t="str">
        <f t="shared" si="29"/>
        <v>FCD</v>
      </c>
      <c r="H72" s="31">
        <v>44</v>
      </c>
      <c r="I72" s="31">
        <v>38</v>
      </c>
      <c r="J72" s="31">
        <v>46</v>
      </c>
      <c r="K72" s="31">
        <v>25</v>
      </c>
      <c r="L72" s="31">
        <v>42</v>
      </c>
      <c r="M72" s="31">
        <v>33</v>
      </c>
      <c r="N72" s="31">
        <v>48</v>
      </c>
      <c r="O72" s="31">
        <v>30</v>
      </c>
      <c r="P72" s="31">
        <v>46</v>
      </c>
      <c r="Q72" s="31">
        <v>43</v>
      </c>
      <c r="R72" s="31">
        <v>50</v>
      </c>
      <c r="S72" s="31">
        <v>27</v>
      </c>
      <c r="T72" s="31">
        <v>48</v>
      </c>
      <c r="U72" s="31">
        <v>35</v>
      </c>
      <c r="V72" s="31">
        <v>43</v>
      </c>
      <c r="W72" s="31">
        <v>31</v>
      </c>
    </row>
    <row r="73" spans="1:23" s="15" customFormat="1" ht="14.15" x14ac:dyDescent="0.35">
      <c r="A73" s="69">
        <f>IF(B73&lt;&gt;"",COUNTA($B$35:B73),"")</f>
        <v>39</v>
      </c>
      <c r="B73" s="13" t="s">
        <v>122</v>
      </c>
      <c r="C73" s="13" t="s">
        <v>123</v>
      </c>
      <c r="D73" s="33">
        <f t="shared" si="31"/>
        <v>79.25</v>
      </c>
      <c r="E73" s="69" t="str">
        <f t="shared" si="33"/>
        <v>PASS</v>
      </c>
      <c r="F73" s="69" t="str">
        <f t="shared" si="32"/>
        <v>FCD</v>
      </c>
      <c r="G73" s="34" t="str">
        <f t="shared" si="29"/>
        <v>FCD</v>
      </c>
      <c r="H73" s="31">
        <v>50</v>
      </c>
      <c r="I73" s="31">
        <v>50</v>
      </c>
      <c r="J73" s="31">
        <v>49</v>
      </c>
      <c r="K73" s="31">
        <v>29</v>
      </c>
      <c r="L73" s="31">
        <v>45</v>
      </c>
      <c r="M73" s="31">
        <v>34</v>
      </c>
      <c r="N73" s="31">
        <v>46</v>
      </c>
      <c r="O73" s="31">
        <v>20</v>
      </c>
      <c r="P73" s="31">
        <v>46</v>
      </c>
      <c r="Q73" s="31">
        <v>34</v>
      </c>
      <c r="R73" s="31">
        <v>50</v>
      </c>
      <c r="S73" s="31">
        <v>21</v>
      </c>
      <c r="T73" s="31">
        <v>45</v>
      </c>
      <c r="U73" s="31">
        <v>29</v>
      </c>
      <c r="V73" s="31">
        <v>48</v>
      </c>
      <c r="W73" s="31">
        <v>38</v>
      </c>
    </row>
    <row r="74" spans="1:23" s="15" customFormat="1" ht="14.15" x14ac:dyDescent="0.35">
      <c r="A74" s="69">
        <f>IF(B74&lt;&gt;"",COUNTA($B$35:B74),"")</f>
        <v>40</v>
      </c>
      <c r="B74" s="13" t="s">
        <v>124</v>
      </c>
      <c r="C74" s="13" t="s">
        <v>125</v>
      </c>
      <c r="D74" s="33">
        <f t="shared" si="31"/>
        <v>75.5</v>
      </c>
      <c r="E74" s="69" t="str">
        <f t="shared" si="33"/>
        <v>PASS</v>
      </c>
      <c r="F74" s="69" t="str">
        <f t="shared" si="32"/>
        <v>FCD</v>
      </c>
      <c r="G74" s="34" t="str">
        <f t="shared" si="29"/>
        <v>FCD</v>
      </c>
      <c r="H74" s="31">
        <v>45</v>
      </c>
      <c r="I74" s="31">
        <v>28</v>
      </c>
      <c r="J74" s="31">
        <v>46</v>
      </c>
      <c r="K74" s="31">
        <v>28</v>
      </c>
      <c r="L74" s="31">
        <v>47</v>
      </c>
      <c r="M74" s="31">
        <v>26</v>
      </c>
      <c r="N74" s="31">
        <v>47</v>
      </c>
      <c r="O74" s="31">
        <v>26</v>
      </c>
      <c r="P74" s="31">
        <v>44</v>
      </c>
      <c r="Q74" s="31">
        <v>44</v>
      </c>
      <c r="R74" s="31">
        <v>48</v>
      </c>
      <c r="S74" s="31">
        <v>26</v>
      </c>
      <c r="T74" s="31">
        <v>43</v>
      </c>
      <c r="U74" s="31">
        <v>29</v>
      </c>
      <c r="V74" s="31">
        <v>47</v>
      </c>
      <c r="W74" s="31">
        <v>30</v>
      </c>
    </row>
    <row r="75" spans="1:23" s="15" customFormat="1" ht="14.15" x14ac:dyDescent="0.35">
      <c r="A75" s="69">
        <f>IF(B75&lt;&gt;"",COUNTA($B$35:B75),"")</f>
        <v>41</v>
      </c>
      <c r="B75" s="13" t="s">
        <v>126</v>
      </c>
      <c r="C75" s="13" t="s">
        <v>127</v>
      </c>
      <c r="D75" s="33">
        <f t="shared" si="31"/>
        <v>78.875</v>
      </c>
      <c r="E75" s="69" t="str">
        <f t="shared" si="33"/>
        <v>PASS</v>
      </c>
      <c r="F75" s="69" t="str">
        <f t="shared" si="32"/>
        <v>FCD</v>
      </c>
      <c r="G75" s="34" t="str">
        <f t="shared" si="29"/>
        <v>FCD</v>
      </c>
      <c r="H75" s="31">
        <v>47</v>
      </c>
      <c r="I75" s="31">
        <v>44</v>
      </c>
      <c r="J75" s="31">
        <v>47</v>
      </c>
      <c r="K75" s="31">
        <v>27</v>
      </c>
      <c r="L75" s="31">
        <v>42</v>
      </c>
      <c r="M75" s="31">
        <v>30</v>
      </c>
      <c r="N75" s="31">
        <v>47</v>
      </c>
      <c r="O75" s="31">
        <v>25</v>
      </c>
      <c r="P75" s="31">
        <v>44</v>
      </c>
      <c r="Q75" s="31">
        <v>38</v>
      </c>
      <c r="R75" s="31">
        <v>50</v>
      </c>
      <c r="S75" s="31">
        <v>26</v>
      </c>
      <c r="T75" s="31">
        <v>44</v>
      </c>
      <c r="U75" s="31">
        <v>41</v>
      </c>
      <c r="V75" s="31">
        <v>47</v>
      </c>
      <c r="W75" s="31">
        <v>32</v>
      </c>
    </row>
    <row r="76" spans="1:23" s="15" customFormat="1" ht="14.15" x14ac:dyDescent="0.35">
      <c r="A76" s="69">
        <f>IF(B76&lt;&gt;"",COUNTA($B$35:B76),"")</f>
        <v>42</v>
      </c>
      <c r="B76" s="13" t="s">
        <v>128</v>
      </c>
      <c r="C76" s="13" t="s">
        <v>129</v>
      </c>
      <c r="D76" s="33">
        <f t="shared" si="31"/>
        <v>65</v>
      </c>
      <c r="E76" s="69" t="str">
        <f t="shared" si="33"/>
        <v>PASS</v>
      </c>
      <c r="F76" s="69" t="str">
        <f t="shared" si="32"/>
        <v>FC</v>
      </c>
      <c r="G76" s="34" t="str">
        <f t="shared" si="29"/>
        <v>FC</v>
      </c>
      <c r="H76" s="31">
        <v>37</v>
      </c>
      <c r="I76" s="31">
        <v>18</v>
      </c>
      <c r="J76" s="31">
        <v>43</v>
      </c>
      <c r="K76" s="31">
        <v>24</v>
      </c>
      <c r="L76" s="31">
        <v>33</v>
      </c>
      <c r="M76" s="31">
        <v>18</v>
      </c>
      <c r="N76" s="31">
        <v>48</v>
      </c>
      <c r="O76" s="31">
        <v>18</v>
      </c>
      <c r="P76" s="31">
        <v>46</v>
      </c>
      <c r="Q76" s="31">
        <v>23</v>
      </c>
      <c r="R76" s="31">
        <v>50</v>
      </c>
      <c r="S76" s="31">
        <v>18</v>
      </c>
      <c r="T76" s="31">
        <v>42</v>
      </c>
      <c r="U76" s="31">
        <v>28</v>
      </c>
      <c r="V76" s="31">
        <v>42</v>
      </c>
      <c r="W76" s="31">
        <v>32</v>
      </c>
    </row>
    <row r="77" spans="1:23" s="15" customFormat="1" ht="14.15" x14ac:dyDescent="0.35">
      <c r="A77" s="69">
        <f>IF(B77&lt;&gt;"",COUNTA($B$35:B77),"")</f>
        <v>43</v>
      </c>
      <c r="B77" s="13" t="s">
        <v>130</v>
      </c>
      <c r="C77" s="13" t="s">
        <v>131</v>
      </c>
      <c r="D77" s="33">
        <f t="shared" si="31"/>
        <v>72.25</v>
      </c>
      <c r="E77" s="69" t="str">
        <f t="shared" si="33"/>
        <v>PASS</v>
      </c>
      <c r="F77" s="69" t="str">
        <f t="shared" si="32"/>
        <v>FCD</v>
      </c>
      <c r="G77" s="34" t="str">
        <f t="shared" si="29"/>
        <v>FCD</v>
      </c>
      <c r="H77" s="31">
        <v>43</v>
      </c>
      <c r="I77" s="31">
        <v>41</v>
      </c>
      <c r="J77" s="31">
        <v>43</v>
      </c>
      <c r="K77" s="31">
        <v>18</v>
      </c>
      <c r="L77" s="31">
        <v>38</v>
      </c>
      <c r="M77" s="31">
        <v>18</v>
      </c>
      <c r="N77" s="31">
        <v>48</v>
      </c>
      <c r="O77" s="31">
        <v>25</v>
      </c>
      <c r="P77" s="31">
        <v>46</v>
      </c>
      <c r="Q77" s="31">
        <v>27</v>
      </c>
      <c r="R77" s="31">
        <v>50</v>
      </c>
      <c r="S77" s="31">
        <v>28</v>
      </c>
      <c r="T77" s="31">
        <v>44</v>
      </c>
      <c r="U77" s="31">
        <v>31</v>
      </c>
      <c r="V77" s="31">
        <v>40</v>
      </c>
      <c r="W77" s="31">
        <v>38</v>
      </c>
    </row>
    <row r="78" spans="1:23" s="15" customFormat="1" ht="14.15" x14ac:dyDescent="0.35">
      <c r="A78" s="69">
        <f>IF(B78&lt;&gt;"",COUNTA($B$35:B78),"")</f>
        <v>44</v>
      </c>
      <c r="B78" s="13" t="s">
        <v>132</v>
      </c>
      <c r="C78" s="13" t="s">
        <v>133</v>
      </c>
      <c r="D78" s="33">
        <f t="shared" si="31"/>
        <v>73.625</v>
      </c>
      <c r="E78" s="69" t="str">
        <f t="shared" si="33"/>
        <v>PASS</v>
      </c>
      <c r="F78" s="69" t="str">
        <f t="shared" si="32"/>
        <v>FCD</v>
      </c>
      <c r="G78" s="34" t="str">
        <f t="shared" si="29"/>
        <v>FCD</v>
      </c>
      <c r="H78" s="31">
        <v>43</v>
      </c>
      <c r="I78" s="31">
        <v>36</v>
      </c>
      <c r="J78" s="31">
        <v>43</v>
      </c>
      <c r="K78" s="31">
        <v>27</v>
      </c>
      <c r="L78" s="31">
        <v>39</v>
      </c>
      <c r="M78" s="31">
        <v>26</v>
      </c>
      <c r="N78" s="31">
        <v>46</v>
      </c>
      <c r="O78" s="31">
        <v>30</v>
      </c>
      <c r="P78" s="31">
        <v>43</v>
      </c>
      <c r="Q78" s="31">
        <v>37</v>
      </c>
      <c r="R78" s="31">
        <v>50</v>
      </c>
      <c r="S78" s="31">
        <v>28</v>
      </c>
      <c r="T78" s="31">
        <v>40</v>
      </c>
      <c r="U78" s="31">
        <v>31</v>
      </c>
      <c r="V78" s="31">
        <v>47</v>
      </c>
      <c r="W78" s="31">
        <v>23</v>
      </c>
    </row>
    <row r="79" spans="1:23" s="15" customFormat="1" ht="14.15" x14ac:dyDescent="0.35">
      <c r="A79" s="69">
        <f>IF(B79&lt;&gt;"",COUNTA($B$35:B79),"")</f>
        <v>45</v>
      </c>
      <c r="B79" s="13" t="s">
        <v>134</v>
      </c>
      <c r="C79" s="14" t="s">
        <v>135</v>
      </c>
      <c r="D79" s="33">
        <f t="shared" si="31"/>
        <v>69</v>
      </c>
      <c r="E79" s="69" t="str">
        <f t="shared" si="33"/>
        <v>PASS</v>
      </c>
      <c r="F79" s="69" t="str">
        <f t="shared" si="32"/>
        <v>FC</v>
      </c>
      <c r="G79" s="34" t="str">
        <f t="shared" si="29"/>
        <v>FC</v>
      </c>
      <c r="H79" s="35">
        <v>44</v>
      </c>
      <c r="I79" s="35">
        <v>23</v>
      </c>
      <c r="J79" s="35">
        <v>41</v>
      </c>
      <c r="K79" s="35">
        <v>20</v>
      </c>
      <c r="L79" s="35">
        <v>36</v>
      </c>
      <c r="M79" s="35">
        <v>22</v>
      </c>
      <c r="N79" s="35">
        <v>47</v>
      </c>
      <c r="O79" s="35">
        <v>18</v>
      </c>
      <c r="P79" s="35">
        <v>46</v>
      </c>
      <c r="Q79" s="35">
        <v>33</v>
      </c>
      <c r="R79" s="35">
        <v>50</v>
      </c>
      <c r="S79" s="35">
        <v>24</v>
      </c>
      <c r="T79" s="35">
        <v>42</v>
      </c>
      <c r="U79" s="35">
        <v>30</v>
      </c>
      <c r="V79" s="35">
        <v>42</v>
      </c>
      <c r="W79" s="35">
        <v>34</v>
      </c>
    </row>
    <row r="80" spans="1:23" s="15" customFormat="1" ht="14.15" x14ac:dyDescent="0.35">
      <c r="A80" s="69">
        <f>IF(B80&lt;&gt;"",COUNTA($B$35:B80),"")</f>
        <v>46</v>
      </c>
      <c r="B80" s="13" t="s">
        <v>136</v>
      </c>
      <c r="C80" s="13" t="s">
        <v>137</v>
      </c>
      <c r="D80" s="33">
        <f t="shared" si="31"/>
        <v>56.75</v>
      </c>
      <c r="E80" s="69" t="str">
        <f t="shared" si="33"/>
        <v>FAIL</v>
      </c>
      <c r="F80" s="69" t="str">
        <f t="shared" si="32"/>
        <v>FAIL</v>
      </c>
      <c r="G80" s="34" t="str">
        <f t="shared" si="29"/>
        <v>SC</v>
      </c>
      <c r="H80" s="31">
        <v>35</v>
      </c>
      <c r="I80" s="31">
        <v>18</v>
      </c>
      <c r="J80" s="31">
        <v>34</v>
      </c>
      <c r="K80" s="31">
        <v>18</v>
      </c>
      <c r="L80" s="31">
        <v>35</v>
      </c>
      <c r="M80" s="31">
        <v>18</v>
      </c>
      <c r="N80" s="31">
        <v>43</v>
      </c>
      <c r="O80" s="31">
        <v>12</v>
      </c>
      <c r="P80" s="31">
        <v>46</v>
      </c>
      <c r="Q80" s="31">
        <v>26</v>
      </c>
      <c r="R80" s="31">
        <v>48</v>
      </c>
      <c r="S80" s="31">
        <v>19</v>
      </c>
      <c r="T80" s="31">
        <v>35</v>
      </c>
      <c r="U80" s="31">
        <v>9</v>
      </c>
      <c r="V80" s="31">
        <v>39</v>
      </c>
      <c r="W80" s="31">
        <v>19</v>
      </c>
    </row>
    <row r="81" spans="1:23" s="15" customFormat="1" ht="14.15" x14ac:dyDescent="0.35">
      <c r="A81" s="69">
        <f>IF(B81&lt;&gt;"",COUNTA($B$35:B81),"")</f>
        <v>47</v>
      </c>
      <c r="B81" s="13" t="s">
        <v>204</v>
      </c>
      <c r="C81" s="13" t="s">
        <v>205</v>
      </c>
      <c r="D81" s="33">
        <f t="shared" si="31"/>
        <v>59.624999999999993</v>
      </c>
      <c r="E81" s="69" t="str">
        <f t="shared" si="33"/>
        <v>FAIL</v>
      </c>
      <c r="F81" s="69" t="str">
        <f t="shared" si="32"/>
        <v>FAIL</v>
      </c>
      <c r="G81" s="34" t="str">
        <f t="shared" si="29"/>
        <v>SC</v>
      </c>
      <c r="H81" s="31">
        <v>35</v>
      </c>
      <c r="I81" s="31">
        <v>18</v>
      </c>
      <c r="J81" s="31">
        <v>35</v>
      </c>
      <c r="K81" s="31">
        <v>15</v>
      </c>
      <c r="L81" s="31">
        <v>39</v>
      </c>
      <c r="M81" s="31">
        <v>18</v>
      </c>
      <c r="N81" s="31">
        <v>42</v>
      </c>
      <c r="O81" s="31">
        <v>28</v>
      </c>
      <c r="P81" s="31">
        <v>42</v>
      </c>
      <c r="Q81" s="31">
        <v>26</v>
      </c>
      <c r="R81" s="31">
        <v>40</v>
      </c>
      <c r="S81" s="31">
        <v>24</v>
      </c>
      <c r="T81" s="31">
        <v>36</v>
      </c>
      <c r="U81" s="31">
        <v>12</v>
      </c>
      <c r="V81" s="31">
        <v>44</v>
      </c>
      <c r="W81" s="31">
        <v>23</v>
      </c>
    </row>
    <row r="82" spans="1:23" s="15" customFormat="1" ht="14.15" x14ac:dyDescent="0.35">
      <c r="A82" s="69">
        <f>IF(B82&lt;&gt;"",COUNTA($B$35:B82),"")</f>
        <v>48</v>
      </c>
      <c r="B82" s="13" t="s">
        <v>138</v>
      </c>
      <c r="C82" s="13" t="s">
        <v>139</v>
      </c>
      <c r="D82" s="33">
        <f t="shared" si="31"/>
        <v>72.375</v>
      </c>
      <c r="E82" s="69" t="str">
        <f t="shared" si="33"/>
        <v>PASS</v>
      </c>
      <c r="F82" s="69" t="str">
        <f t="shared" si="32"/>
        <v>FCD</v>
      </c>
      <c r="G82" s="34" t="str">
        <f t="shared" si="29"/>
        <v>FCD</v>
      </c>
      <c r="H82" s="31">
        <v>44</v>
      </c>
      <c r="I82" s="31">
        <v>33</v>
      </c>
      <c r="J82" s="31">
        <v>46</v>
      </c>
      <c r="K82" s="31">
        <v>24</v>
      </c>
      <c r="L82" s="35">
        <v>42</v>
      </c>
      <c r="M82" s="31">
        <v>18</v>
      </c>
      <c r="N82" s="31">
        <v>48</v>
      </c>
      <c r="O82" s="31">
        <v>30</v>
      </c>
      <c r="P82" s="31">
        <v>46</v>
      </c>
      <c r="Q82" s="31">
        <v>37</v>
      </c>
      <c r="R82" s="31">
        <v>50</v>
      </c>
      <c r="S82" s="31">
        <v>27</v>
      </c>
      <c r="T82" s="31">
        <v>43</v>
      </c>
      <c r="U82" s="31">
        <v>27</v>
      </c>
      <c r="V82" s="31">
        <v>43</v>
      </c>
      <c r="W82" s="31">
        <v>21</v>
      </c>
    </row>
    <row r="83" spans="1:23" s="15" customFormat="1" ht="14.15" x14ac:dyDescent="0.35">
      <c r="A83" s="69">
        <f>IF(B83&lt;&gt;"",COUNTA($B$35:B83),"")</f>
        <v>49</v>
      </c>
      <c r="B83" s="13" t="s">
        <v>140</v>
      </c>
      <c r="C83" s="13" t="s">
        <v>141</v>
      </c>
      <c r="D83" s="33">
        <f t="shared" si="31"/>
        <v>76.125</v>
      </c>
      <c r="E83" s="69" t="str">
        <f t="shared" si="33"/>
        <v>PASS</v>
      </c>
      <c r="F83" s="69" t="str">
        <f t="shared" si="32"/>
        <v>FCD</v>
      </c>
      <c r="G83" s="34" t="str">
        <f t="shared" si="29"/>
        <v>FCD</v>
      </c>
      <c r="H83" s="31">
        <v>43</v>
      </c>
      <c r="I83" s="31">
        <v>42</v>
      </c>
      <c r="J83" s="31">
        <v>46</v>
      </c>
      <c r="K83" s="31">
        <v>30</v>
      </c>
      <c r="L83" s="31">
        <v>44</v>
      </c>
      <c r="M83" s="31">
        <v>35</v>
      </c>
      <c r="N83" s="31">
        <v>46</v>
      </c>
      <c r="O83" s="31">
        <v>27</v>
      </c>
      <c r="P83" s="31">
        <v>45</v>
      </c>
      <c r="Q83" s="31">
        <v>37</v>
      </c>
      <c r="R83" s="31">
        <v>50</v>
      </c>
      <c r="S83" s="31">
        <v>27</v>
      </c>
      <c r="T83" s="31">
        <v>45</v>
      </c>
      <c r="U83" s="31">
        <v>18</v>
      </c>
      <c r="V83" s="31">
        <v>42</v>
      </c>
      <c r="W83" s="31">
        <v>32</v>
      </c>
    </row>
    <row r="84" spans="1:23" s="15" customFormat="1" ht="14.15" x14ac:dyDescent="0.35">
      <c r="A84" s="69">
        <f>IF(B84&lt;&gt;"",COUNTA($B$35:B84),"")</f>
        <v>50</v>
      </c>
      <c r="B84" s="13" t="s">
        <v>142</v>
      </c>
      <c r="C84" s="13" t="s">
        <v>143</v>
      </c>
      <c r="D84" s="33">
        <f t="shared" si="31"/>
        <v>65</v>
      </c>
      <c r="E84" s="69" t="str">
        <f t="shared" si="33"/>
        <v>PASS</v>
      </c>
      <c r="F84" s="69" t="str">
        <f t="shared" si="32"/>
        <v>FC</v>
      </c>
      <c r="G84" s="34" t="str">
        <f t="shared" si="29"/>
        <v>FC</v>
      </c>
      <c r="H84" s="31">
        <v>38</v>
      </c>
      <c r="I84" s="31">
        <v>18</v>
      </c>
      <c r="J84" s="31">
        <v>39</v>
      </c>
      <c r="K84" s="31">
        <v>19</v>
      </c>
      <c r="L84" s="31">
        <v>35</v>
      </c>
      <c r="M84" s="31">
        <v>20</v>
      </c>
      <c r="N84" s="31">
        <v>47</v>
      </c>
      <c r="O84" s="31">
        <v>23</v>
      </c>
      <c r="P84" s="31">
        <v>47</v>
      </c>
      <c r="Q84" s="31">
        <v>37</v>
      </c>
      <c r="R84" s="31">
        <v>48</v>
      </c>
      <c r="S84" s="31">
        <v>28</v>
      </c>
      <c r="T84" s="31">
        <v>42</v>
      </c>
      <c r="U84" s="31">
        <v>18</v>
      </c>
      <c r="V84" s="31">
        <v>42</v>
      </c>
      <c r="W84" s="31">
        <v>19</v>
      </c>
    </row>
    <row r="85" spans="1:23" s="15" customFormat="1" ht="14.15" x14ac:dyDescent="0.35">
      <c r="A85" s="69">
        <f>IF(B85&lt;&gt;"",COUNTA($B$35:B85),"")</f>
        <v>51</v>
      </c>
      <c r="B85" s="13" t="s">
        <v>144</v>
      </c>
      <c r="C85" s="13" t="s">
        <v>145</v>
      </c>
      <c r="D85" s="33">
        <f t="shared" si="31"/>
        <v>69.25</v>
      </c>
      <c r="E85" s="69" t="str">
        <f t="shared" si="33"/>
        <v>PASS</v>
      </c>
      <c r="F85" s="69" t="str">
        <f t="shared" si="32"/>
        <v>FC</v>
      </c>
      <c r="G85" s="34" t="str">
        <f t="shared" si="29"/>
        <v>FC</v>
      </c>
      <c r="H85" s="31">
        <v>42</v>
      </c>
      <c r="I85" s="31">
        <v>32</v>
      </c>
      <c r="J85" s="31">
        <v>45</v>
      </c>
      <c r="K85" s="31">
        <v>23</v>
      </c>
      <c r="L85" s="31">
        <v>31</v>
      </c>
      <c r="M85" s="31">
        <v>24</v>
      </c>
      <c r="N85" s="31">
        <v>45</v>
      </c>
      <c r="O85" s="31">
        <v>18</v>
      </c>
      <c r="P85" s="31">
        <v>43</v>
      </c>
      <c r="Q85" s="31">
        <v>34</v>
      </c>
      <c r="R85" s="31">
        <v>50</v>
      </c>
      <c r="S85" s="31">
        <v>27</v>
      </c>
      <c r="T85" s="31">
        <v>38</v>
      </c>
      <c r="U85" s="31">
        <v>25</v>
      </c>
      <c r="V85" s="31">
        <v>44</v>
      </c>
      <c r="W85" s="31">
        <v>33</v>
      </c>
    </row>
    <row r="86" spans="1:23" s="15" customFormat="1" ht="14.15" x14ac:dyDescent="0.35">
      <c r="A86" s="69">
        <f>IF(B86&lt;&gt;"",COUNTA($B$35:B86),"")</f>
        <v>52</v>
      </c>
      <c r="B86" s="13" t="s">
        <v>146</v>
      </c>
      <c r="C86" s="13" t="s">
        <v>147</v>
      </c>
      <c r="D86" s="33">
        <f t="shared" si="31"/>
        <v>64.125</v>
      </c>
      <c r="E86" s="69" t="str">
        <f t="shared" si="33"/>
        <v>PASS</v>
      </c>
      <c r="F86" s="69" t="str">
        <f t="shared" si="32"/>
        <v>FC</v>
      </c>
      <c r="G86" s="34" t="str">
        <f t="shared" si="29"/>
        <v>FC</v>
      </c>
      <c r="H86" s="31">
        <v>43</v>
      </c>
      <c r="I86" s="31">
        <v>19</v>
      </c>
      <c r="J86" s="31">
        <v>40</v>
      </c>
      <c r="K86" s="31">
        <v>23</v>
      </c>
      <c r="L86" s="31">
        <v>35</v>
      </c>
      <c r="M86" s="31">
        <v>25</v>
      </c>
      <c r="N86" s="31">
        <v>45</v>
      </c>
      <c r="O86" s="31">
        <v>20</v>
      </c>
      <c r="P86" s="31">
        <v>40</v>
      </c>
      <c r="Q86" s="31">
        <v>27</v>
      </c>
      <c r="R86" s="31">
        <v>35</v>
      </c>
      <c r="S86" s="31">
        <v>21</v>
      </c>
      <c r="T86" s="31">
        <v>37</v>
      </c>
      <c r="U86" s="31">
        <v>29</v>
      </c>
      <c r="V86" s="31">
        <v>46</v>
      </c>
      <c r="W86" s="31">
        <v>28</v>
      </c>
    </row>
    <row r="87" spans="1:23" s="15" customFormat="1" ht="14.15" x14ac:dyDescent="0.35">
      <c r="A87" s="69">
        <f>IF(B87&lt;&gt;"",COUNTA($B$35:B87),"")</f>
        <v>53</v>
      </c>
      <c r="B87" s="13" t="s">
        <v>148</v>
      </c>
      <c r="C87" s="13" t="s">
        <v>149</v>
      </c>
      <c r="D87" s="33">
        <f t="shared" si="31"/>
        <v>62.375</v>
      </c>
      <c r="E87" s="69" t="str">
        <f t="shared" si="33"/>
        <v>FAIL</v>
      </c>
      <c r="F87" s="69" t="str">
        <f t="shared" si="32"/>
        <v>FAIL</v>
      </c>
      <c r="G87" s="34" t="str">
        <f t="shared" si="29"/>
        <v>FC</v>
      </c>
      <c r="H87" s="31">
        <v>39</v>
      </c>
      <c r="I87" s="31">
        <v>25</v>
      </c>
      <c r="J87" s="31">
        <v>39</v>
      </c>
      <c r="K87" s="31">
        <v>12</v>
      </c>
      <c r="L87" s="31">
        <v>35</v>
      </c>
      <c r="M87" s="31">
        <v>18</v>
      </c>
      <c r="N87" s="31">
        <v>43</v>
      </c>
      <c r="O87" s="31">
        <v>26</v>
      </c>
      <c r="P87" s="31">
        <v>42</v>
      </c>
      <c r="Q87" s="31">
        <v>36</v>
      </c>
      <c r="R87" s="31">
        <v>50</v>
      </c>
      <c r="S87" s="31">
        <v>23</v>
      </c>
      <c r="T87" s="31">
        <v>40</v>
      </c>
      <c r="U87" s="31">
        <v>14</v>
      </c>
      <c r="V87" s="31">
        <v>45</v>
      </c>
      <c r="W87" s="31">
        <v>12</v>
      </c>
    </row>
    <row r="88" spans="1:23" s="15" customFormat="1" ht="14.15" x14ac:dyDescent="0.35">
      <c r="A88" s="69">
        <f>IF(B88&lt;&gt;"",COUNTA($B$35:B88),"")</f>
        <v>54</v>
      </c>
      <c r="B88" s="13" t="s">
        <v>150</v>
      </c>
      <c r="C88" s="13" t="s">
        <v>151</v>
      </c>
      <c r="D88" s="33">
        <f t="shared" si="31"/>
        <v>73.75</v>
      </c>
      <c r="E88" s="69" t="str">
        <f t="shared" si="33"/>
        <v>PASS</v>
      </c>
      <c r="F88" s="69" t="str">
        <f t="shared" si="32"/>
        <v>FCD</v>
      </c>
      <c r="G88" s="34" t="str">
        <f t="shared" si="29"/>
        <v>FCD</v>
      </c>
      <c r="H88" s="31">
        <v>45</v>
      </c>
      <c r="I88" s="31">
        <v>43</v>
      </c>
      <c r="J88" s="31">
        <v>49</v>
      </c>
      <c r="K88" s="31">
        <v>22</v>
      </c>
      <c r="L88" s="31">
        <v>40</v>
      </c>
      <c r="M88" s="31">
        <v>24</v>
      </c>
      <c r="N88" s="31">
        <v>43</v>
      </c>
      <c r="O88" s="31">
        <v>22</v>
      </c>
      <c r="P88" s="31">
        <v>46</v>
      </c>
      <c r="Q88" s="31">
        <v>38</v>
      </c>
      <c r="R88" s="31">
        <v>50</v>
      </c>
      <c r="S88" s="31">
        <v>25</v>
      </c>
      <c r="T88" s="31">
        <v>42</v>
      </c>
      <c r="U88" s="31">
        <v>30</v>
      </c>
      <c r="V88" s="31">
        <v>46</v>
      </c>
      <c r="W88" s="31">
        <v>25</v>
      </c>
    </row>
    <row r="89" spans="1:23" s="15" customFormat="1" ht="14.15" x14ac:dyDescent="0.35">
      <c r="A89" s="69">
        <f>IF(B89&lt;&gt;"",COUNTA($B$35:B89),"")</f>
        <v>55</v>
      </c>
      <c r="B89" s="13" t="s">
        <v>152</v>
      </c>
      <c r="C89" s="13" t="s">
        <v>153</v>
      </c>
      <c r="D89" s="33">
        <f t="shared" si="31"/>
        <v>63.749999999999993</v>
      </c>
      <c r="E89" s="69" t="str">
        <f t="shared" si="33"/>
        <v>PASS</v>
      </c>
      <c r="F89" s="69" t="str">
        <f t="shared" si="32"/>
        <v>FC</v>
      </c>
      <c r="G89" s="34" t="str">
        <f t="shared" si="29"/>
        <v>FC</v>
      </c>
      <c r="H89" s="31">
        <v>37</v>
      </c>
      <c r="I89" s="31">
        <v>23</v>
      </c>
      <c r="J89" s="31">
        <v>42</v>
      </c>
      <c r="K89" s="31">
        <v>20</v>
      </c>
      <c r="L89" s="31">
        <v>35</v>
      </c>
      <c r="M89" s="31">
        <v>22</v>
      </c>
      <c r="N89" s="31">
        <v>44</v>
      </c>
      <c r="O89" s="31">
        <v>25</v>
      </c>
      <c r="P89" s="31">
        <v>43</v>
      </c>
      <c r="Q89" s="31">
        <v>21</v>
      </c>
      <c r="R89" s="31">
        <v>40</v>
      </c>
      <c r="S89" s="31">
        <v>25</v>
      </c>
      <c r="T89" s="31">
        <v>40</v>
      </c>
      <c r="U89" s="31">
        <v>18</v>
      </c>
      <c r="V89" s="31">
        <v>47</v>
      </c>
      <c r="W89" s="31">
        <v>28</v>
      </c>
    </row>
    <row r="90" spans="1:23" s="15" customFormat="1" ht="14.15" x14ac:dyDescent="0.35">
      <c r="A90" s="69">
        <f>IF(B90&lt;&gt;"",COUNTA($B$35:B90),"")</f>
        <v>56</v>
      </c>
      <c r="B90" s="13" t="s">
        <v>154</v>
      </c>
      <c r="C90" s="13" t="s">
        <v>155</v>
      </c>
      <c r="D90" s="33">
        <f t="shared" si="31"/>
        <v>58.25</v>
      </c>
      <c r="E90" s="69" t="str">
        <f t="shared" si="33"/>
        <v>FAIL</v>
      </c>
      <c r="F90" s="69" t="str">
        <f t="shared" si="32"/>
        <v>FAIL</v>
      </c>
      <c r="G90" s="34" t="str">
        <f t="shared" si="29"/>
        <v>SC</v>
      </c>
      <c r="H90" s="31">
        <v>35</v>
      </c>
      <c r="I90" s="31">
        <v>11</v>
      </c>
      <c r="J90" s="31">
        <v>36</v>
      </c>
      <c r="K90" s="31">
        <v>22</v>
      </c>
      <c r="L90" s="31">
        <v>35</v>
      </c>
      <c r="M90" s="31">
        <v>18</v>
      </c>
      <c r="N90" s="31">
        <v>46</v>
      </c>
      <c r="O90" s="31">
        <v>19</v>
      </c>
      <c r="P90" s="31">
        <v>45</v>
      </c>
      <c r="Q90" s="31">
        <v>19</v>
      </c>
      <c r="R90" s="31">
        <v>48</v>
      </c>
      <c r="S90" s="31">
        <v>18</v>
      </c>
      <c r="T90" s="31">
        <v>38</v>
      </c>
      <c r="U90" s="31">
        <v>24</v>
      </c>
      <c r="V90" s="31">
        <v>42</v>
      </c>
      <c r="W90" s="31">
        <v>10</v>
      </c>
    </row>
    <row r="91" spans="1:23" s="15" customFormat="1" ht="14.15" x14ac:dyDescent="0.35">
      <c r="A91" s="68" t="str">
        <f>IF(B91&lt;&gt;"",COUNTA($B$35:B91),"")</f>
        <v/>
      </c>
      <c r="B91" s="30"/>
      <c r="C91" s="30"/>
      <c r="D91" s="62" t="str">
        <f t="shared" si="31"/>
        <v/>
      </c>
      <c r="E91" s="68" t="str">
        <f t="shared" si="33"/>
        <v/>
      </c>
      <c r="F91" s="68" t="str">
        <f t="shared" si="32"/>
        <v/>
      </c>
      <c r="G91" s="63" t="str">
        <f t="shared" si="29"/>
        <v/>
      </c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</row>
    <row r="92" spans="1:23" s="15" customFormat="1" ht="14.15" x14ac:dyDescent="0.35">
      <c r="A92" s="68" t="str">
        <f>IF(B92&lt;&gt;"",COUNTA($B$35:B92),"")</f>
        <v/>
      </c>
      <c r="B92" s="30"/>
      <c r="C92" s="30"/>
      <c r="D92" s="62" t="str">
        <f t="shared" si="31"/>
        <v/>
      </c>
      <c r="E92" s="68" t="str">
        <f t="shared" si="33"/>
        <v/>
      </c>
      <c r="F92" s="68" t="str">
        <f t="shared" si="32"/>
        <v/>
      </c>
      <c r="G92" s="63" t="str">
        <f t="shared" si="29"/>
        <v/>
      </c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</row>
    <row r="93" spans="1:23" s="15" customFormat="1" ht="14.15" x14ac:dyDescent="0.35">
      <c r="A93" s="68" t="str">
        <f>IF(B93&lt;&gt;"",COUNTA($B$35:B93),"")</f>
        <v/>
      </c>
      <c r="B93" s="30"/>
      <c r="C93" s="30"/>
      <c r="D93" s="62" t="str">
        <f t="shared" si="31"/>
        <v/>
      </c>
      <c r="E93" s="68" t="str">
        <f t="shared" si="33"/>
        <v/>
      </c>
      <c r="F93" s="68" t="str">
        <f t="shared" si="32"/>
        <v/>
      </c>
      <c r="G93" s="63" t="str">
        <f t="shared" si="29"/>
        <v/>
      </c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 spans="1:23" s="15" customFormat="1" ht="14.15" x14ac:dyDescent="0.35">
      <c r="A94" s="68" t="str">
        <f>IF(B94&lt;&gt;"",COUNTA($B$35:B94),"")</f>
        <v/>
      </c>
      <c r="B94" s="30"/>
      <c r="C94" s="30"/>
      <c r="D94" s="62" t="str">
        <f t="shared" si="31"/>
        <v/>
      </c>
      <c r="E94" s="68" t="str">
        <f t="shared" si="33"/>
        <v/>
      </c>
      <c r="F94" s="68" t="str">
        <f t="shared" si="32"/>
        <v/>
      </c>
      <c r="G94" s="63" t="str">
        <f t="shared" si="29"/>
        <v/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</row>
    <row r="95" spans="1:23" s="15" customFormat="1" ht="14.15" x14ac:dyDescent="0.35">
      <c r="A95" s="68" t="str">
        <f>IF(B95&lt;&gt;"",COUNTA($B$35:B95),"")</f>
        <v/>
      </c>
      <c r="B95" s="30"/>
      <c r="C95" s="30"/>
      <c r="D95" s="62" t="str">
        <f t="shared" si="31"/>
        <v/>
      </c>
      <c r="E95" s="68" t="str">
        <f t="shared" si="33"/>
        <v/>
      </c>
      <c r="F95" s="68" t="str">
        <f t="shared" si="32"/>
        <v/>
      </c>
      <c r="G95" s="63" t="str">
        <f t="shared" si="29"/>
        <v/>
      </c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 spans="1:23" s="15" customFormat="1" ht="14.15" x14ac:dyDescent="0.35">
      <c r="A96" s="68" t="str">
        <f>IF(B96&lt;&gt;"",COUNTA($B$35:B96),"")</f>
        <v/>
      </c>
      <c r="B96" s="30"/>
      <c r="C96" s="30"/>
      <c r="D96" s="62" t="str">
        <f t="shared" si="31"/>
        <v/>
      </c>
      <c r="E96" s="68" t="str">
        <f t="shared" si="33"/>
        <v/>
      </c>
      <c r="F96" s="68" t="str">
        <f t="shared" si="32"/>
        <v/>
      </c>
      <c r="G96" s="63" t="str">
        <f t="shared" si="29"/>
        <v/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</row>
    <row r="97" spans="1:23" s="15" customFormat="1" ht="14.15" x14ac:dyDescent="0.35">
      <c r="A97" s="68" t="str">
        <f>IF(B97&lt;&gt;"",COUNTA($B$35:B97),"")</f>
        <v/>
      </c>
      <c r="B97" s="30"/>
      <c r="C97" s="30"/>
      <c r="D97" s="62" t="str">
        <f t="shared" si="31"/>
        <v/>
      </c>
      <c r="E97" s="68" t="str">
        <f t="shared" si="33"/>
        <v/>
      </c>
      <c r="F97" s="68" t="str">
        <f t="shared" si="32"/>
        <v/>
      </c>
      <c r="G97" s="63" t="str">
        <f t="shared" si="29"/>
        <v/>
      </c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</row>
    <row r="98" spans="1:23" s="15" customFormat="1" ht="14.15" x14ac:dyDescent="0.35">
      <c r="A98" s="68" t="str">
        <f>IF(B98&lt;&gt;"",COUNTA($B$35:B98),"")</f>
        <v/>
      </c>
      <c r="B98" s="30"/>
      <c r="C98" s="30"/>
      <c r="D98" s="62" t="str">
        <f t="shared" si="31"/>
        <v/>
      </c>
      <c r="E98" s="68" t="str">
        <f t="shared" si="33"/>
        <v/>
      </c>
      <c r="F98" s="68" t="str">
        <f t="shared" si="32"/>
        <v/>
      </c>
      <c r="G98" s="63" t="str">
        <f t="shared" si="29"/>
        <v/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 spans="1:23" s="15" customFormat="1" ht="14.15" x14ac:dyDescent="0.35">
      <c r="A99" s="68" t="str">
        <f>IF(B99&lt;&gt;"",COUNTA($B$35:B99),"")</f>
        <v/>
      </c>
      <c r="B99" s="30"/>
      <c r="C99" s="30"/>
      <c r="D99" s="62" t="str">
        <f t="shared" si="31"/>
        <v/>
      </c>
      <c r="E99" s="68" t="str">
        <f t="shared" si="33"/>
        <v/>
      </c>
      <c r="F99" s="68" t="str">
        <f t="shared" si="32"/>
        <v/>
      </c>
      <c r="G99" s="63" t="str">
        <f t="shared" ref="G99:G162" si="34">IF(D99 = "", "", IF(D99 &gt;= 70, "FCD", IF(D99 &gt;= 60, "FC", IF(D99 &gt;= 35, "SC", ""))))</f>
        <v/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 spans="1:23" s="15" customFormat="1" ht="14.15" x14ac:dyDescent="0.35">
      <c r="A100" s="68" t="str">
        <f>IF(B100&lt;&gt;"",COUNTA($B$35:B100),"")</f>
        <v/>
      </c>
      <c r="B100" s="30"/>
      <c r="C100" s="30"/>
      <c r="D100" s="62" t="str">
        <f t="shared" si="31"/>
        <v/>
      </c>
      <c r="E100" s="68" t="str">
        <f t="shared" si="33"/>
        <v/>
      </c>
      <c r="F100" s="68" t="str">
        <f t="shared" si="32"/>
        <v/>
      </c>
      <c r="G100" s="63" t="str">
        <f t="shared" si="34"/>
        <v/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</row>
    <row r="101" spans="1:23" s="15" customFormat="1" ht="14.15" x14ac:dyDescent="0.35">
      <c r="A101" s="68" t="str">
        <f>IF(B101&lt;&gt;"",COUNTA($B$35:B101),"")</f>
        <v/>
      </c>
      <c r="B101" s="30"/>
      <c r="C101" s="30"/>
      <c r="D101" s="62" t="str">
        <f t="shared" ref="D101:D164" si="35">IF(C101="","",(SUM(H101:W101)/D$29)*100)</f>
        <v/>
      </c>
      <c r="E101" s="68" t="str">
        <f t="shared" si="33"/>
        <v/>
      </c>
      <c r="F101" s="68" t="str">
        <f t="shared" ref="F101:F164" si="36">IF(E101="Pass",G101, IF(E101="FAIL","FAIL",""))</f>
        <v/>
      </c>
      <c r="G101" s="63" t="str">
        <f t="shared" si="34"/>
        <v/>
      </c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</row>
    <row r="102" spans="1:23" s="15" customFormat="1" ht="14.15" x14ac:dyDescent="0.35">
      <c r="A102" s="68" t="str">
        <f>IF(B102&lt;&gt;"",COUNTA($B$35:B102),"")</f>
        <v/>
      </c>
      <c r="B102" s="30"/>
      <c r="C102" s="30"/>
      <c r="D102" s="62" t="str">
        <f t="shared" si="35"/>
        <v/>
      </c>
      <c r="E102" s="68" t="str">
        <f t="shared" si="33"/>
        <v/>
      </c>
      <c r="F102" s="68" t="str">
        <f t="shared" si="36"/>
        <v/>
      </c>
      <c r="G102" s="63" t="str">
        <f t="shared" si="34"/>
        <v/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</row>
    <row r="103" spans="1:23" s="15" customFormat="1" ht="14.15" x14ac:dyDescent="0.35">
      <c r="A103" s="68" t="str">
        <f>IF(B103&lt;&gt;"",COUNTA($B$35:B103),"")</f>
        <v/>
      </c>
      <c r="B103" s="30"/>
      <c r="C103" s="30"/>
      <c r="D103" s="62" t="str">
        <f t="shared" si="35"/>
        <v/>
      </c>
      <c r="E103" s="68" t="str">
        <f t="shared" si="33"/>
        <v/>
      </c>
      <c r="F103" s="68" t="str">
        <f t="shared" si="36"/>
        <v/>
      </c>
      <c r="G103" s="63" t="str">
        <f t="shared" si="34"/>
        <v/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</row>
    <row r="104" spans="1:23" s="15" customFormat="1" ht="14.15" x14ac:dyDescent="0.35">
      <c r="A104" s="68" t="str">
        <f>IF(B104&lt;&gt;"",COUNTA($B$35:B104),"")</f>
        <v/>
      </c>
      <c r="B104" s="30"/>
      <c r="C104" s="30"/>
      <c r="D104" s="62" t="str">
        <f t="shared" si="35"/>
        <v/>
      </c>
      <c r="E104" s="68" t="str">
        <f t="shared" si="33"/>
        <v/>
      </c>
      <c r="F104" s="68" t="str">
        <f t="shared" si="36"/>
        <v/>
      </c>
      <c r="G104" s="63" t="str">
        <f t="shared" si="34"/>
        <v/>
      </c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</row>
    <row r="105" spans="1:23" s="15" customFormat="1" ht="14.15" x14ac:dyDescent="0.35">
      <c r="A105" s="68" t="str">
        <f>IF(B105&lt;&gt;"",COUNTA($B$35:B105),"")</f>
        <v/>
      </c>
      <c r="B105" s="30"/>
      <c r="C105" s="30"/>
      <c r="D105" s="62" t="str">
        <f t="shared" si="35"/>
        <v/>
      </c>
      <c r="E105" s="68" t="str">
        <f t="shared" ref="E105:E168" si="37">IF(ISBLANK(B105),"",IF(OR(I105&lt;18,K105&lt;18,M105&lt;18,O105&lt;18,Q105&lt;18,S105&lt;18,U105&lt;18,W105&lt;18),"FAIL","PASS"))</f>
        <v/>
      </c>
      <c r="F105" s="68" t="str">
        <f t="shared" si="36"/>
        <v/>
      </c>
      <c r="G105" s="63" t="str">
        <f t="shared" si="34"/>
        <v/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</row>
    <row r="106" spans="1:23" s="15" customFormat="1" ht="14.15" x14ac:dyDescent="0.35">
      <c r="A106" s="68" t="str">
        <f>IF(B106&lt;&gt;"",COUNTA($B$35:B106),"")</f>
        <v/>
      </c>
      <c r="B106" s="30"/>
      <c r="C106" s="30"/>
      <c r="D106" s="62" t="str">
        <f t="shared" si="35"/>
        <v/>
      </c>
      <c r="E106" s="68" t="str">
        <f t="shared" si="37"/>
        <v/>
      </c>
      <c r="F106" s="68" t="str">
        <f t="shared" si="36"/>
        <v/>
      </c>
      <c r="G106" s="63" t="str">
        <f t="shared" si="34"/>
        <v/>
      </c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</row>
    <row r="107" spans="1:23" s="15" customFormat="1" ht="14.15" x14ac:dyDescent="0.35">
      <c r="A107" s="68" t="str">
        <f>IF(B107&lt;&gt;"",COUNTA($B$35:B107),"")</f>
        <v/>
      </c>
      <c r="B107" s="30"/>
      <c r="C107" s="30"/>
      <c r="D107" s="62" t="str">
        <f t="shared" si="35"/>
        <v/>
      </c>
      <c r="E107" s="68" t="str">
        <f t="shared" si="37"/>
        <v/>
      </c>
      <c r="F107" s="68" t="str">
        <f t="shared" si="36"/>
        <v/>
      </c>
      <c r="G107" s="63" t="str">
        <f t="shared" si="34"/>
        <v/>
      </c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</row>
    <row r="108" spans="1:23" s="15" customFormat="1" ht="14.15" x14ac:dyDescent="0.35">
      <c r="A108" s="68" t="str">
        <f>IF(B108&lt;&gt;"",COUNTA($B$35:B108),"")</f>
        <v/>
      </c>
      <c r="B108" s="30"/>
      <c r="C108" s="30"/>
      <c r="D108" s="62" t="str">
        <f t="shared" si="35"/>
        <v/>
      </c>
      <c r="E108" s="68" t="str">
        <f t="shared" si="37"/>
        <v/>
      </c>
      <c r="F108" s="68" t="str">
        <f t="shared" si="36"/>
        <v/>
      </c>
      <c r="G108" s="63" t="str">
        <f t="shared" si="34"/>
        <v/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</row>
    <row r="109" spans="1:23" s="15" customFormat="1" ht="14.15" x14ac:dyDescent="0.35">
      <c r="A109" s="68" t="str">
        <f>IF(B109&lt;&gt;"",COUNTA($B$35:B109),"")</f>
        <v/>
      </c>
      <c r="B109" s="30"/>
      <c r="C109" s="30"/>
      <c r="D109" s="62" t="str">
        <f t="shared" si="35"/>
        <v/>
      </c>
      <c r="E109" s="68" t="str">
        <f t="shared" si="37"/>
        <v/>
      </c>
      <c r="F109" s="68" t="str">
        <f t="shared" si="36"/>
        <v/>
      </c>
      <c r="G109" s="63" t="str">
        <f t="shared" si="34"/>
        <v/>
      </c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</row>
    <row r="110" spans="1:23" s="15" customFormat="1" ht="14.15" x14ac:dyDescent="0.35">
      <c r="A110" s="68" t="str">
        <f>IF(B110&lt;&gt;"",COUNTA($B$35:B110),"")</f>
        <v/>
      </c>
      <c r="B110" s="30"/>
      <c r="C110" s="30"/>
      <c r="D110" s="62" t="str">
        <f t="shared" si="35"/>
        <v/>
      </c>
      <c r="E110" s="68" t="str">
        <f t="shared" si="37"/>
        <v/>
      </c>
      <c r="F110" s="68" t="str">
        <f t="shared" si="36"/>
        <v/>
      </c>
      <c r="G110" s="63" t="str">
        <f t="shared" si="34"/>
        <v/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</row>
    <row r="111" spans="1:23" s="15" customFormat="1" ht="14.15" x14ac:dyDescent="0.35">
      <c r="A111" s="68" t="str">
        <f>IF(B111&lt;&gt;"",COUNTA($B$35:B111),"")</f>
        <v/>
      </c>
      <c r="B111" s="30"/>
      <c r="C111" s="30"/>
      <c r="D111" s="62" t="str">
        <f t="shared" si="35"/>
        <v/>
      </c>
      <c r="E111" s="68" t="str">
        <f t="shared" si="37"/>
        <v/>
      </c>
      <c r="F111" s="68" t="str">
        <f t="shared" si="36"/>
        <v/>
      </c>
      <c r="G111" s="63" t="str">
        <f t="shared" si="34"/>
        <v/>
      </c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</row>
    <row r="112" spans="1:23" s="15" customFormat="1" ht="14.15" x14ac:dyDescent="0.35">
      <c r="A112" s="68" t="str">
        <f>IF(B112&lt;&gt;"",COUNTA($B$35:B112),"")</f>
        <v/>
      </c>
      <c r="B112" s="30"/>
      <c r="C112" s="30"/>
      <c r="D112" s="62" t="str">
        <f t="shared" si="35"/>
        <v/>
      </c>
      <c r="E112" s="68" t="str">
        <f t="shared" si="37"/>
        <v/>
      </c>
      <c r="F112" s="68" t="str">
        <f t="shared" si="36"/>
        <v/>
      </c>
      <c r="G112" s="63" t="str">
        <f t="shared" si="34"/>
        <v/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</row>
    <row r="113" spans="1:23" s="15" customFormat="1" ht="14.15" x14ac:dyDescent="0.35">
      <c r="A113" s="68" t="str">
        <f>IF(B113&lt;&gt;"",COUNTA($B$35:B113),"")</f>
        <v/>
      </c>
      <c r="B113" s="30"/>
      <c r="C113" s="30"/>
      <c r="D113" s="62" t="str">
        <f t="shared" si="35"/>
        <v/>
      </c>
      <c r="E113" s="68" t="str">
        <f t="shared" si="37"/>
        <v/>
      </c>
      <c r="F113" s="68" t="str">
        <f t="shared" si="36"/>
        <v/>
      </c>
      <c r="G113" s="63" t="str">
        <f t="shared" si="34"/>
        <v/>
      </c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</row>
    <row r="114" spans="1:23" s="15" customFormat="1" ht="14.15" x14ac:dyDescent="0.35">
      <c r="A114" s="68" t="str">
        <f>IF(B114&lt;&gt;"",COUNTA($B$35:B114),"")</f>
        <v/>
      </c>
      <c r="B114" s="30"/>
      <c r="C114" s="30"/>
      <c r="D114" s="62" t="str">
        <f t="shared" si="35"/>
        <v/>
      </c>
      <c r="E114" s="68" t="str">
        <f t="shared" si="37"/>
        <v/>
      </c>
      <c r="F114" s="68" t="str">
        <f t="shared" si="36"/>
        <v/>
      </c>
      <c r="G114" s="63" t="str">
        <f t="shared" si="34"/>
        <v/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</row>
    <row r="115" spans="1:23" s="15" customFormat="1" ht="14.15" x14ac:dyDescent="0.35">
      <c r="A115" s="68" t="str">
        <f>IF(B115&lt;&gt;"",COUNTA($B$35:B115),"")</f>
        <v/>
      </c>
      <c r="B115" s="30"/>
      <c r="C115" s="30"/>
      <c r="D115" s="62" t="str">
        <f t="shared" si="35"/>
        <v/>
      </c>
      <c r="E115" s="68" t="str">
        <f t="shared" si="37"/>
        <v/>
      </c>
      <c r="F115" s="68" t="str">
        <f t="shared" si="36"/>
        <v/>
      </c>
      <c r="G115" s="63" t="str">
        <f t="shared" si="34"/>
        <v/>
      </c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</row>
    <row r="116" spans="1:23" s="15" customFormat="1" ht="14.15" x14ac:dyDescent="0.35">
      <c r="A116" s="68" t="str">
        <f>IF(B116&lt;&gt;"",COUNTA($B$35:B116),"")</f>
        <v/>
      </c>
      <c r="B116" s="30"/>
      <c r="C116" s="30"/>
      <c r="D116" s="62" t="str">
        <f t="shared" si="35"/>
        <v/>
      </c>
      <c r="E116" s="68" t="str">
        <f t="shared" si="37"/>
        <v/>
      </c>
      <c r="F116" s="68" t="str">
        <f t="shared" si="36"/>
        <v/>
      </c>
      <c r="G116" s="63" t="str">
        <f t="shared" si="34"/>
        <v/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</row>
    <row r="117" spans="1:23" s="15" customFormat="1" ht="14.15" x14ac:dyDescent="0.35">
      <c r="A117" s="68" t="str">
        <f>IF(B117&lt;&gt;"",COUNTA($B$35:B117),"")</f>
        <v/>
      </c>
      <c r="B117" s="30"/>
      <c r="C117" s="30"/>
      <c r="D117" s="62" t="str">
        <f t="shared" si="35"/>
        <v/>
      </c>
      <c r="E117" s="68" t="str">
        <f t="shared" si="37"/>
        <v/>
      </c>
      <c r="F117" s="68" t="str">
        <f t="shared" si="36"/>
        <v/>
      </c>
      <c r="G117" s="63" t="str">
        <f t="shared" si="34"/>
        <v/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</row>
    <row r="118" spans="1:23" s="15" customFormat="1" ht="14.15" x14ac:dyDescent="0.35">
      <c r="A118" s="68" t="str">
        <f>IF(B118&lt;&gt;"",COUNTA($B$35:B118),"")</f>
        <v/>
      </c>
      <c r="B118" s="30"/>
      <c r="C118" s="30"/>
      <c r="D118" s="62" t="str">
        <f t="shared" si="35"/>
        <v/>
      </c>
      <c r="E118" s="68" t="str">
        <f t="shared" si="37"/>
        <v/>
      </c>
      <c r="F118" s="68" t="str">
        <f t="shared" si="36"/>
        <v/>
      </c>
      <c r="G118" s="63" t="str">
        <f t="shared" si="34"/>
        <v/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</row>
    <row r="119" spans="1:23" s="15" customFormat="1" ht="14.15" x14ac:dyDescent="0.35">
      <c r="A119" s="68" t="str">
        <f>IF(B119&lt;&gt;"",COUNTA($B$35:B119),"")</f>
        <v/>
      </c>
      <c r="B119" s="30"/>
      <c r="C119" s="30"/>
      <c r="D119" s="62" t="str">
        <f t="shared" si="35"/>
        <v/>
      </c>
      <c r="E119" s="68" t="str">
        <f t="shared" si="37"/>
        <v/>
      </c>
      <c r="F119" s="68" t="str">
        <f t="shared" si="36"/>
        <v/>
      </c>
      <c r="G119" s="63" t="str">
        <f t="shared" si="34"/>
        <v/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</row>
    <row r="120" spans="1:23" s="15" customFormat="1" ht="14.15" x14ac:dyDescent="0.35">
      <c r="A120" s="68" t="str">
        <f>IF(B120&lt;&gt;"",COUNTA($B$35:B120),"")</f>
        <v/>
      </c>
      <c r="B120" s="30"/>
      <c r="C120" s="30"/>
      <c r="D120" s="62" t="str">
        <f t="shared" si="35"/>
        <v/>
      </c>
      <c r="E120" s="68" t="str">
        <f t="shared" si="37"/>
        <v/>
      </c>
      <c r="F120" s="68" t="str">
        <f t="shared" si="36"/>
        <v/>
      </c>
      <c r="G120" s="63" t="str">
        <f t="shared" si="34"/>
        <v/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</row>
    <row r="121" spans="1:23" s="15" customFormat="1" ht="14.15" x14ac:dyDescent="0.35">
      <c r="A121" s="68" t="str">
        <f>IF(B121&lt;&gt;"",COUNTA($B$35:B121),"")</f>
        <v/>
      </c>
      <c r="B121" s="30"/>
      <c r="C121" s="30"/>
      <c r="D121" s="62" t="str">
        <f t="shared" si="35"/>
        <v/>
      </c>
      <c r="E121" s="68" t="str">
        <f t="shared" si="37"/>
        <v/>
      </c>
      <c r="F121" s="68" t="str">
        <f t="shared" si="36"/>
        <v/>
      </c>
      <c r="G121" s="63" t="str">
        <f t="shared" si="34"/>
        <v/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</row>
    <row r="122" spans="1:23" s="15" customFormat="1" ht="14.15" x14ac:dyDescent="0.35">
      <c r="A122" s="68" t="str">
        <f>IF(B122&lt;&gt;"",COUNTA($B$35:B122),"")</f>
        <v/>
      </c>
      <c r="B122" s="30"/>
      <c r="C122" s="30"/>
      <c r="D122" s="62" t="str">
        <f t="shared" si="35"/>
        <v/>
      </c>
      <c r="E122" s="68" t="str">
        <f t="shared" si="37"/>
        <v/>
      </c>
      <c r="F122" s="68" t="str">
        <f t="shared" si="36"/>
        <v/>
      </c>
      <c r="G122" s="63" t="str">
        <f t="shared" si="34"/>
        <v/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</row>
    <row r="123" spans="1:23" s="15" customFormat="1" ht="14.15" x14ac:dyDescent="0.35">
      <c r="A123" s="68" t="str">
        <f>IF(B123&lt;&gt;"",COUNTA($B$35:B123),"")</f>
        <v/>
      </c>
      <c r="B123" s="30"/>
      <c r="C123" s="30"/>
      <c r="D123" s="62" t="str">
        <f t="shared" si="35"/>
        <v/>
      </c>
      <c r="E123" s="68" t="str">
        <f t="shared" si="37"/>
        <v/>
      </c>
      <c r="F123" s="68" t="str">
        <f t="shared" si="36"/>
        <v/>
      </c>
      <c r="G123" s="63" t="str">
        <f t="shared" si="34"/>
        <v/>
      </c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</row>
    <row r="124" spans="1:23" s="15" customFormat="1" ht="14.15" x14ac:dyDescent="0.35">
      <c r="A124" s="68" t="str">
        <f>IF(B124&lt;&gt;"",COUNTA($B$35:B124),"")</f>
        <v/>
      </c>
      <c r="B124" s="30"/>
      <c r="C124" s="30"/>
      <c r="D124" s="62" t="str">
        <f t="shared" si="35"/>
        <v/>
      </c>
      <c r="E124" s="68" t="str">
        <f t="shared" si="37"/>
        <v/>
      </c>
      <c r="F124" s="68" t="str">
        <f t="shared" si="36"/>
        <v/>
      </c>
      <c r="G124" s="63" t="str">
        <f t="shared" si="34"/>
        <v/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</row>
    <row r="125" spans="1:23" s="15" customFormat="1" ht="14.15" x14ac:dyDescent="0.35">
      <c r="A125" s="68" t="str">
        <f>IF(B125&lt;&gt;"",COUNTA($B$35:B125),"")</f>
        <v/>
      </c>
      <c r="B125" s="30"/>
      <c r="C125" s="30"/>
      <c r="D125" s="62" t="str">
        <f t="shared" si="35"/>
        <v/>
      </c>
      <c r="E125" s="68" t="str">
        <f t="shared" si="37"/>
        <v/>
      </c>
      <c r="F125" s="68" t="str">
        <f t="shared" si="36"/>
        <v/>
      </c>
      <c r="G125" s="63" t="str">
        <f t="shared" si="34"/>
        <v/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</row>
    <row r="126" spans="1:23" s="15" customFormat="1" ht="14.15" x14ac:dyDescent="0.35">
      <c r="A126" s="68" t="str">
        <f>IF(B126&lt;&gt;"",COUNTA($B$35:B126),"")</f>
        <v/>
      </c>
      <c r="B126" s="30"/>
      <c r="C126" s="30"/>
      <c r="D126" s="62" t="str">
        <f t="shared" si="35"/>
        <v/>
      </c>
      <c r="E126" s="68" t="str">
        <f t="shared" si="37"/>
        <v/>
      </c>
      <c r="F126" s="68" t="str">
        <f t="shared" si="36"/>
        <v/>
      </c>
      <c r="G126" s="63" t="str">
        <f t="shared" si="34"/>
        <v/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 spans="1:23" s="15" customFormat="1" ht="14.15" x14ac:dyDescent="0.35">
      <c r="A127" s="68" t="str">
        <f>IF(B127&lt;&gt;"",COUNTA($B$35:B127),"")</f>
        <v/>
      </c>
      <c r="B127" s="30"/>
      <c r="C127" s="30"/>
      <c r="D127" s="62" t="str">
        <f t="shared" si="35"/>
        <v/>
      </c>
      <c r="E127" s="68" t="str">
        <f t="shared" si="37"/>
        <v/>
      </c>
      <c r="F127" s="68" t="str">
        <f t="shared" si="36"/>
        <v/>
      </c>
      <c r="G127" s="63" t="str">
        <f t="shared" si="34"/>
        <v/>
      </c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</row>
    <row r="128" spans="1:23" s="15" customFormat="1" ht="14.15" x14ac:dyDescent="0.35">
      <c r="A128" s="68" t="str">
        <f>IF(B128&lt;&gt;"",COUNTA($B$35:B128),"")</f>
        <v/>
      </c>
      <c r="B128" s="30"/>
      <c r="C128" s="30"/>
      <c r="D128" s="62" t="str">
        <f t="shared" si="35"/>
        <v/>
      </c>
      <c r="E128" s="68" t="str">
        <f t="shared" si="37"/>
        <v/>
      </c>
      <c r="F128" s="68" t="str">
        <f t="shared" si="36"/>
        <v/>
      </c>
      <c r="G128" s="63" t="str">
        <f t="shared" si="34"/>
        <v/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29" spans="1:23" s="15" customFormat="1" ht="14.15" x14ac:dyDescent="0.35">
      <c r="A129" s="68" t="str">
        <f>IF(B129&lt;&gt;"",COUNTA($B$35:B129),"")</f>
        <v/>
      </c>
      <c r="B129" s="30"/>
      <c r="C129" s="30"/>
      <c r="D129" s="62" t="str">
        <f t="shared" si="35"/>
        <v/>
      </c>
      <c r="E129" s="68" t="str">
        <f t="shared" si="37"/>
        <v/>
      </c>
      <c r="F129" s="68" t="str">
        <f t="shared" si="36"/>
        <v/>
      </c>
      <c r="G129" s="63" t="str">
        <f t="shared" si="34"/>
        <v/>
      </c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</row>
    <row r="130" spans="1:23" s="15" customFormat="1" ht="14.15" x14ac:dyDescent="0.35">
      <c r="A130" s="68" t="str">
        <f>IF(B130&lt;&gt;"",COUNTA($B$35:B130),"")</f>
        <v/>
      </c>
      <c r="B130" s="30"/>
      <c r="C130" s="30"/>
      <c r="D130" s="62" t="str">
        <f t="shared" si="35"/>
        <v/>
      </c>
      <c r="E130" s="68" t="str">
        <f t="shared" si="37"/>
        <v/>
      </c>
      <c r="F130" s="68" t="str">
        <f t="shared" si="36"/>
        <v/>
      </c>
      <c r="G130" s="63" t="str">
        <f t="shared" si="34"/>
        <v/>
      </c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 spans="1:23" s="15" customFormat="1" ht="14.15" x14ac:dyDescent="0.35">
      <c r="A131" s="68" t="str">
        <f>IF(B131&lt;&gt;"",COUNTA($B$35:B131),"")</f>
        <v/>
      </c>
      <c r="B131" s="30"/>
      <c r="C131" s="30"/>
      <c r="D131" s="62" t="str">
        <f t="shared" si="35"/>
        <v/>
      </c>
      <c r="E131" s="68" t="str">
        <f t="shared" si="37"/>
        <v/>
      </c>
      <c r="F131" s="68" t="str">
        <f t="shared" si="36"/>
        <v/>
      </c>
      <c r="G131" s="63" t="str">
        <f t="shared" si="34"/>
        <v/>
      </c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</row>
    <row r="132" spans="1:23" s="15" customFormat="1" ht="14.15" x14ac:dyDescent="0.35">
      <c r="A132" s="68" t="str">
        <f>IF(B132&lt;&gt;"",COUNTA($B$35:B132),"")</f>
        <v/>
      </c>
      <c r="B132" s="30"/>
      <c r="C132" s="30"/>
      <c r="D132" s="62" t="str">
        <f t="shared" si="35"/>
        <v/>
      </c>
      <c r="E132" s="68" t="str">
        <f t="shared" si="37"/>
        <v/>
      </c>
      <c r="F132" s="68" t="str">
        <f t="shared" si="36"/>
        <v/>
      </c>
      <c r="G132" s="63" t="str">
        <f t="shared" si="34"/>
        <v/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</row>
    <row r="133" spans="1:23" s="15" customFormat="1" ht="14.15" x14ac:dyDescent="0.35">
      <c r="A133" s="68" t="str">
        <f>IF(B133&lt;&gt;"",COUNTA($B$35:B133),"")</f>
        <v/>
      </c>
      <c r="B133" s="30"/>
      <c r="C133" s="30"/>
      <c r="D133" s="62" t="str">
        <f t="shared" si="35"/>
        <v/>
      </c>
      <c r="E133" s="68" t="str">
        <f t="shared" si="37"/>
        <v/>
      </c>
      <c r="F133" s="68" t="str">
        <f t="shared" si="36"/>
        <v/>
      </c>
      <c r="G133" s="63" t="str">
        <f t="shared" si="34"/>
        <v/>
      </c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</row>
    <row r="134" spans="1:23" s="15" customFormat="1" ht="14.15" x14ac:dyDescent="0.35">
      <c r="A134" s="68" t="str">
        <f>IF(B134&lt;&gt;"",COUNTA($B$35:B134),"")</f>
        <v/>
      </c>
      <c r="B134" s="30"/>
      <c r="C134" s="30"/>
      <c r="D134" s="62" t="str">
        <f t="shared" si="35"/>
        <v/>
      </c>
      <c r="E134" s="68" t="str">
        <f t="shared" si="37"/>
        <v/>
      </c>
      <c r="F134" s="68" t="str">
        <f t="shared" si="36"/>
        <v/>
      </c>
      <c r="G134" s="63" t="str">
        <f t="shared" si="34"/>
        <v/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</row>
    <row r="135" spans="1:23" s="15" customFormat="1" ht="14.15" x14ac:dyDescent="0.35">
      <c r="A135" s="68" t="str">
        <f>IF(B135&lt;&gt;"",COUNTA($B$35:B135),"")</f>
        <v/>
      </c>
      <c r="B135" s="30"/>
      <c r="C135" s="30"/>
      <c r="D135" s="62" t="str">
        <f t="shared" si="35"/>
        <v/>
      </c>
      <c r="E135" s="68" t="str">
        <f t="shared" si="37"/>
        <v/>
      </c>
      <c r="F135" s="68" t="str">
        <f t="shared" si="36"/>
        <v/>
      </c>
      <c r="G135" s="63" t="str">
        <f t="shared" si="34"/>
        <v/>
      </c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</row>
    <row r="136" spans="1:23" s="15" customFormat="1" ht="14.15" x14ac:dyDescent="0.35">
      <c r="A136" s="68" t="str">
        <f>IF(B136&lt;&gt;"",COUNTA($B$35:B136),"")</f>
        <v/>
      </c>
      <c r="B136" s="30"/>
      <c r="C136" s="30"/>
      <c r="D136" s="62" t="str">
        <f t="shared" si="35"/>
        <v/>
      </c>
      <c r="E136" s="68" t="str">
        <f t="shared" si="37"/>
        <v/>
      </c>
      <c r="F136" s="68" t="str">
        <f t="shared" si="36"/>
        <v/>
      </c>
      <c r="G136" s="63" t="str">
        <f t="shared" si="34"/>
        <v/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</row>
    <row r="137" spans="1:23" s="15" customFormat="1" ht="14.15" x14ac:dyDescent="0.35">
      <c r="A137" s="68" t="str">
        <f>IF(B137&lt;&gt;"",COUNTA($B$35:B137),"")</f>
        <v/>
      </c>
      <c r="B137" s="30"/>
      <c r="C137" s="30"/>
      <c r="D137" s="62" t="str">
        <f t="shared" si="35"/>
        <v/>
      </c>
      <c r="E137" s="68" t="str">
        <f t="shared" si="37"/>
        <v/>
      </c>
      <c r="F137" s="68" t="str">
        <f t="shared" si="36"/>
        <v/>
      </c>
      <c r="G137" s="63" t="str">
        <f t="shared" si="34"/>
        <v/>
      </c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</row>
    <row r="138" spans="1:23" s="15" customFormat="1" ht="14.15" x14ac:dyDescent="0.35">
      <c r="A138" s="68" t="str">
        <f>IF(B138&lt;&gt;"",COUNTA($B$35:B138),"")</f>
        <v/>
      </c>
      <c r="B138" s="30"/>
      <c r="C138" s="30"/>
      <c r="D138" s="62" t="str">
        <f t="shared" si="35"/>
        <v/>
      </c>
      <c r="E138" s="68" t="str">
        <f t="shared" si="37"/>
        <v/>
      </c>
      <c r="F138" s="68" t="str">
        <f t="shared" si="36"/>
        <v/>
      </c>
      <c r="G138" s="63" t="str">
        <f t="shared" si="34"/>
        <v/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</row>
    <row r="139" spans="1:23" s="15" customFormat="1" ht="14.15" x14ac:dyDescent="0.35">
      <c r="A139" s="68" t="str">
        <f>IF(B139&lt;&gt;"",COUNTA($B$35:B139),"")</f>
        <v/>
      </c>
      <c r="B139" s="30"/>
      <c r="C139" s="30"/>
      <c r="D139" s="62" t="str">
        <f t="shared" si="35"/>
        <v/>
      </c>
      <c r="E139" s="68" t="str">
        <f t="shared" si="37"/>
        <v/>
      </c>
      <c r="F139" s="68" t="str">
        <f t="shared" si="36"/>
        <v/>
      </c>
      <c r="G139" s="63" t="str">
        <f t="shared" si="34"/>
        <v/>
      </c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 spans="1:23" s="15" customFormat="1" ht="14.15" x14ac:dyDescent="0.35">
      <c r="A140" s="68" t="str">
        <f>IF(B140&lt;&gt;"",COUNTA($B$35:B140),"")</f>
        <v/>
      </c>
      <c r="B140" s="30"/>
      <c r="C140" s="30"/>
      <c r="D140" s="62" t="str">
        <f t="shared" si="35"/>
        <v/>
      </c>
      <c r="E140" s="68" t="str">
        <f t="shared" si="37"/>
        <v/>
      </c>
      <c r="F140" s="68" t="str">
        <f t="shared" si="36"/>
        <v/>
      </c>
      <c r="G140" s="63" t="str">
        <f t="shared" si="34"/>
        <v/>
      </c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</row>
    <row r="141" spans="1:23" s="15" customFormat="1" ht="14.15" x14ac:dyDescent="0.35">
      <c r="A141" s="68" t="str">
        <f>IF(B141&lt;&gt;"",COUNTA($B$35:B141),"")</f>
        <v/>
      </c>
      <c r="B141" s="30"/>
      <c r="C141" s="30"/>
      <c r="D141" s="62" t="str">
        <f t="shared" si="35"/>
        <v/>
      </c>
      <c r="E141" s="68" t="str">
        <f t="shared" si="37"/>
        <v/>
      </c>
      <c r="F141" s="68" t="str">
        <f t="shared" si="36"/>
        <v/>
      </c>
      <c r="G141" s="63" t="str">
        <f t="shared" si="34"/>
        <v/>
      </c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</row>
    <row r="142" spans="1:23" s="15" customFormat="1" ht="14.15" x14ac:dyDescent="0.35">
      <c r="A142" s="68" t="str">
        <f>IF(B142&lt;&gt;"",COUNTA($B$35:B142),"")</f>
        <v/>
      </c>
      <c r="B142" s="30"/>
      <c r="C142" s="30"/>
      <c r="D142" s="62" t="str">
        <f t="shared" si="35"/>
        <v/>
      </c>
      <c r="E142" s="68" t="str">
        <f t="shared" si="37"/>
        <v/>
      </c>
      <c r="F142" s="68" t="str">
        <f t="shared" si="36"/>
        <v/>
      </c>
      <c r="G142" s="63" t="str">
        <f t="shared" si="34"/>
        <v/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</row>
    <row r="143" spans="1:23" s="15" customFormat="1" ht="14.15" x14ac:dyDescent="0.35">
      <c r="A143" s="68" t="str">
        <f>IF(B143&lt;&gt;"",COUNTA($B$35:B143),"")</f>
        <v/>
      </c>
      <c r="B143" s="30"/>
      <c r="C143" s="30"/>
      <c r="D143" s="62" t="str">
        <f t="shared" si="35"/>
        <v/>
      </c>
      <c r="E143" s="68" t="str">
        <f t="shared" si="37"/>
        <v/>
      </c>
      <c r="F143" s="68" t="str">
        <f t="shared" si="36"/>
        <v/>
      </c>
      <c r="G143" s="63" t="str">
        <f t="shared" si="34"/>
        <v/>
      </c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</row>
    <row r="144" spans="1:23" s="15" customFormat="1" ht="14.15" x14ac:dyDescent="0.35">
      <c r="A144" s="68" t="str">
        <f>IF(B144&lt;&gt;"",COUNTA($B$35:B144),"")</f>
        <v/>
      </c>
      <c r="B144" s="30"/>
      <c r="C144" s="30"/>
      <c r="D144" s="62" t="str">
        <f t="shared" si="35"/>
        <v/>
      </c>
      <c r="E144" s="68" t="str">
        <f t="shared" si="37"/>
        <v/>
      </c>
      <c r="F144" s="68" t="str">
        <f t="shared" si="36"/>
        <v/>
      </c>
      <c r="G144" s="63" t="str">
        <f t="shared" si="34"/>
        <v/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</row>
    <row r="145" spans="1:23" s="15" customFormat="1" ht="14.15" x14ac:dyDescent="0.35">
      <c r="A145" s="68" t="str">
        <f>IF(B145&lt;&gt;"",COUNTA($B$35:B145),"")</f>
        <v/>
      </c>
      <c r="B145" s="30"/>
      <c r="C145" s="30"/>
      <c r="D145" s="62" t="str">
        <f t="shared" si="35"/>
        <v/>
      </c>
      <c r="E145" s="68" t="str">
        <f t="shared" si="37"/>
        <v/>
      </c>
      <c r="F145" s="68" t="str">
        <f t="shared" si="36"/>
        <v/>
      </c>
      <c r="G145" s="63" t="str">
        <f t="shared" si="34"/>
        <v/>
      </c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</row>
    <row r="146" spans="1:23" s="15" customFormat="1" ht="14.15" x14ac:dyDescent="0.35">
      <c r="A146" s="68" t="str">
        <f>IF(B146&lt;&gt;"",COUNTA($B$35:B146),"")</f>
        <v/>
      </c>
      <c r="B146" s="30"/>
      <c r="C146" s="30"/>
      <c r="D146" s="62" t="str">
        <f t="shared" si="35"/>
        <v/>
      </c>
      <c r="E146" s="68" t="str">
        <f t="shared" si="37"/>
        <v/>
      </c>
      <c r="F146" s="68" t="str">
        <f t="shared" si="36"/>
        <v/>
      </c>
      <c r="G146" s="63" t="str">
        <f t="shared" si="34"/>
        <v/>
      </c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</row>
    <row r="147" spans="1:23" s="15" customFormat="1" ht="14.15" x14ac:dyDescent="0.35">
      <c r="A147" s="68" t="str">
        <f>IF(B147&lt;&gt;"",COUNTA($B$35:B147),"")</f>
        <v/>
      </c>
      <c r="B147" s="30"/>
      <c r="C147" s="30"/>
      <c r="D147" s="62" t="str">
        <f t="shared" si="35"/>
        <v/>
      </c>
      <c r="E147" s="68" t="str">
        <f t="shared" si="37"/>
        <v/>
      </c>
      <c r="F147" s="68" t="str">
        <f t="shared" si="36"/>
        <v/>
      </c>
      <c r="G147" s="63" t="str">
        <f t="shared" si="34"/>
        <v/>
      </c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</row>
    <row r="148" spans="1:23" s="15" customFormat="1" ht="14.15" x14ac:dyDescent="0.35">
      <c r="A148" s="68" t="str">
        <f>IF(B148&lt;&gt;"",COUNTA($B$35:B148),"")</f>
        <v/>
      </c>
      <c r="B148" s="30"/>
      <c r="C148" s="30"/>
      <c r="D148" s="62" t="str">
        <f t="shared" si="35"/>
        <v/>
      </c>
      <c r="E148" s="68" t="str">
        <f t="shared" si="37"/>
        <v/>
      </c>
      <c r="F148" s="68" t="str">
        <f t="shared" si="36"/>
        <v/>
      </c>
      <c r="G148" s="63" t="str">
        <f t="shared" si="34"/>
        <v/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</row>
    <row r="149" spans="1:23" s="15" customFormat="1" ht="14.15" x14ac:dyDescent="0.35">
      <c r="A149" s="68" t="str">
        <f>IF(B149&lt;&gt;"",COUNTA($B$35:B149),"")</f>
        <v/>
      </c>
      <c r="B149" s="30"/>
      <c r="C149" s="30"/>
      <c r="D149" s="62" t="str">
        <f t="shared" si="35"/>
        <v/>
      </c>
      <c r="E149" s="68" t="str">
        <f t="shared" si="37"/>
        <v/>
      </c>
      <c r="F149" s="68" t="str">
        <f t="shared" si="36"/>
        <v/>
      </c>
      <c r="G149" s="63" t="str">
        <f t="shared" si="34"/>
        <v/>
      </c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</row>
    <row r="150" spans="1:23" s="15" customFormat="1" ht="14.15" x14ac:dyDescent="0.35">
      <c r="A150" s="68" t="str">
        <f>IF(B150&lt;&gt;"",COUNTA($B$35:B150),"")</f>
        <v/>
      </c>
      <c r="B150" s="30"/>
      <c r="C150" s="30"/>
      <c r="D150" s="62" t="str">
        <f t="shared" si="35"/>
        <v/>
      </c>
      <c r="E150" s="68" t="str">
        <f t="shared" si="37"/>
        <v/>
      </c>
      <c r="F150" s="68" t="str">
        <f t="shared" si="36"/>
        <v/>
      </c>
      <c r="G150" s="63" t="str">
        <f t="shared" si="34"/>
        <v/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</row>
    <row r="151" spans="1:23" s="15" customFormat="1" ht="14.15" x14ac:dyDescent="0.35">
      <c r="A151" s="68" t="str">
        <f>IF(B151&lt;&gt;"",COUNTA($B$35:B151),"")</f>
        <v/>
      </c>
      <c r="B151" s="30"/>
      <c r="C151" s="30"/>
      <c r="D151" s="62" t="str">
        <f t="shared" si="35"/>
        <v/>
      </c>
      <c r="E151" s="68" t="str">
        <f t="shared" si="37"/>
        <v/>
      </c>
      <c r="F151" s="68" t="str">
        <f t="shared" si="36"/>
        <v/>
      </c>
      <c r="G151" s="63" t="str">
        <f t="shared" si="34"/>
        <v/>
      </c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 spans="1:23" s="15" customFormat="1" ht="14.15" x14ac:dyDescent="0.35">
      <c r="A152" s="68" t="str">
        <f>IF(B152&lt;&gt;"",COUNTA($B$35:B152),"")</f>
        <v/>
      </c>
      <c r="B152" s="30"/>
      <c r="C152" s="30"/>
      <c r="D152" s="62" t="str">
        <f t="shared" si="35"/>
        <v/>
      </c>
      <c r="E152" s="68" t="str">
        <f t="shared" si="37"/>
        <v/>
      </c>
      <c r="F152" s="68" t="str">
        <f t="shared" si="36"/>
        <v/>
      </c>
      <c r="G152" s="63" t="str">
        <f t="shared" si="34"/>
        <v/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</row>
    <row r="153" spans="1:23" s="15" customFormat="1" ht="14.15" x14ac:dyDescent="0.35">
      <c r="A153" s="68" t="str">
        <f>IF(B153&lt;&gt;"",COUNTA($B$35:B153),"")</f>
        <v/>
      </c>
      <c r="B153" s="30"/>
      <c r="C153" s="30"/>
      <c r="D153" s="62" t="str">
        <f t="shared" si="35"/>
        <v/>
      </c>
      <c r="E153" s="68" t="str">
        <f t="shared" si="37"/>
        <v/>
      </c>
      <c r="F153" s="68" t="str">
        <f t="shared" si="36"/>
        <v/>
      </c>
      <c r="G153" s="63" t="str">
        <f t="shared" si="34"/>
        <v/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</row>
    <row r="154" spans="1:23" s="15" customFormat="1" ht="14.15" x14ac:dyDescent="0.35">
      <c r="A154" s="68" t="str">
        <f>IF(B154&lt;&gt;"",COUNTA($B$35:B154),"")</f>
        <v/>
      </c>
      <c r="B154" s="30"/>
      <c r="C154" s="30"/>
      <c r="D154" s="62" t="str">
        <f t="shared" si="35"/>
        <v/>
      </c>
      <c r="E154" s="68" t="str">
        <f t="shared" si="37"/>
        <v/>
      </c>
      <c r="F154" s="68" t="str">
        <f t="shared" si="36"/>
        <v/>
      </c>
      <c r="G154" s="63" t="str">
        <f t="shared" si="34"/>
        <v/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 spans="1:23" s="15" customFormat="1" ht="14.15" x14ac:dyDescent="0.35">
      <c r="A155" s="68" t="str">
        <f>IF(B155&lt;&gt;"",COUNTA($B$35:B155),"")</f>
        <v/>
      </c>
      <c r="B155" s="30"/>
      <c r="C155" s="30"/>
      <c r="D155" s="62" t="str">
        <f t="shared" si="35"/>
        <v/>
      </c>
      <c r="E155" s="68" t="str">
        <f t="shared" si="37"/>
        <v/>
      </c>
      <c r="F155" s="68" t="str">
        <f t="shared" si="36"/>
        <v/>
      </c>
      <c r="G155" s="63" t="str">
        <f t="shared" si="34"/>
        <v/>
      </c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</row>
    <row r="156" spans="1:23" s="15" customFormat="1" ht="14.15" x14ac:dyDescent="0.35">
      <c r="A156" s="68" t="str">
        <f>IF(B156&lt;&gt;"",COUNTA($B$35:B156),"")</f>
        <v/>
      </c>
      <c r="B156" s="30"/>
      <c r="C156" s="30"/>
      <c r="D156" s="62" t="str">
        <f t="shared" si="35"/>
        <v/>
      </c>
      <c r="E156" s="68" t="str">
        <f t="shared" si="37"/>
        <v/>
      </c>
      <c r="F156" s="68" t="str">
        <f t="shared" si="36"/>
        <v/>
      </c>
      <c r="G156" s="63" t="str">
        <f t="shared" si="34"/>
        <v/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</row>
    <row r="157" spans="1:23" s="15" customFormat="1" ht="14.15" x14ac:dyDescent="0.35">
      <c r="A157" s="68" t="str">
        <f>IF(B157&lt;&gt;"",COUNTA($B$35:B157),"")</f>
        <v/>
      </c>
      <c r="B157" s="30"/>
      <c r="C157" s="30"/>
      <c r="D157" s="62" t="str">
        <f t="shared" si="35"/>
        <v/>
      </c>
      <c r="E157" s="68" t="str">
        <f t="shared" si="37"/>
        <v/>
      </c>
      <c r="F157" s="68" t="str">
        <f t="shared" si="36"/>
        <v/>
      </c>
      <c r="G157" s="63" t="str">
        <f t="shared" si="34"/>
        <v/>
      </c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</row>
    <row r="158" spans="1:23" s="15" customFormat="1" ht="14.15" x14ac:dyDescent="0.35">
      <c r="A158" s="68" t="str">
        <f>IF(B158&lt;&gt;"",COUNTA($B$35:B158),"")</f>
        <v/>
      </c>
      <c r="B158" s="30"/>
      <c r="C158" s="30"/>
      <c r="D158" s="62" t="str">
        <f t="shared" si="35"/>
        <v/>
      </c>
      <c r="E158" s="68" t="str">
        <f t="shared" si="37"/>
        <v/>
      </c>
      <c r="F158" s="68" t="str">
        <f t="shared" si="36"/>
        <v/>
      </c>
      <c r="G158" s="63" t="str">
        <f t="shared" si="34"/>
        <v/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</row>
    <row r="159" spans="1:23" s="15" customFormat="1" ht="14.15" x14ac:dyDescent="0.35">
      <c r="A159" s="68" t="str">
        <f>IF(B159&lt;&gt;"",COUNTA($B$35:B159),"")</f>
        <v/>
      </c>
      <c r="B159" s="30"/>
      <c r="C159" s="30"/>
      <c r="D159" s="62" t="str">
        <f t="shared" si="35"/>
        <v/>
      </c>
      <c r="E159" s="68" t="str">
        <f t="shared" si="37"/>
        <v/>
      </c>
      <c r="F159" s="68" t="str">
        <f t="shared" si="36"/>
        <v/>
      </c>
      <c r="G159" s="63" t="str">
        <f t="shared" si="34"/>
        <v/>
      </c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</row>
    <row r="160" spans="1:23" s="15" customFormat="1" ht="14.15" x14ac:dyDescent="0.35">
      <c r="A160" s="68" t="str">
        <f>IF(B160&lt;&gt;"",COUNTA($B$35:B160),"")</f>
        <v/>
      </c>
      <c r="B160" s="30"/>
      <c r="C160" s="30"/>
      <c r="D160" s="62" t="str">
        <f t="shared" si="35"/>
        <v/>
      </c>
      <c r="E160" s="68" t="str">
        <f t="shared" si="37"/>
        <v/>
      </c>
      <c r="F160" s="68" t="str">
        <f t="shared" si="36"/>
        <v/>
      </c>
      <c r="G160" s="63" t="str">
        <f t="shared" si="34"/>
        <v/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</row>
    <row r="161" spans="1:23" s="15" customFormat="1" ht="14.15" x14ac:dyDescent="0.35">
      <c r="A161" s="68" t="str">
        <f>IF(B161&lt;&gt;"",COUNTA($B$35:B161),"")</f>
        <v/>
      </c>
      <c r="B161" s="30"/>
      <c r="C161" s="30"/>
      <c r="D161" s="62" t="str">
        <f t="shared" si="35"/>
        <v/>
      </c>
      <c r="E161" s="68" t="str">
        <f t="shared" si="37"/>
        <v/>
      </c>
      <c r="F161" s="68" t="str">
        <f t="shared" si="36"/>
        <v/>
      </c>
      <c r="G161" s="63" t="str">
        <f t="shared" si="34"/>
        <v/>
      </c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</row>
    <row r="162" spans="1:23" s="15" customFormat="1" ht="14.15" x14ac:dyDescent="0.35">
      <c r="A162" s="68" t="str">
        <f>IF(B162&lt;&gt;"",COUNTA($B$35:B162),"")</f>
        <v/>
      </c>
      <c r="B162" s="30"/>
      <c r="C162" s="30"/>
      <c r="D162" s="62" t="str">
        <f t="shared" si="35"/>
        <v/>
      </c>
      <c r="E162" s="68" t="str">
        <f t="shared" si="37"/>
        <v/>
      </c>
      <c r="F162" s="68" t="str">
        <f t="shared" si="36"/>
        <v/>
      </c>
      <c r="G162" s="63" t="str">
        <f t="shared" si="34"/>
        <v/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</row>
    <row r="163" spans="1:23" s="15" customFormat="1" ht="14.15" x14ac:dyDescent="0.35">
      <c r="A163" s="68" t="str">
        <f>IF(B163&lt;&gt;"",COUNTA($B$35:B163),"")</f>
        <v/>
      </c>
      <c r="B163" s="30"/>
      <c r="C163" s="30"/>
      <c r="D163" s="62" t="str">
        <f t="shared" si="35"/>
        <v/>
      </c>
      <c r="E163" s="68" t="str">
        <f t="shared" si="37"/>
        <v/>
      </c>
      <c r="F163" s="68" t="str">
        <f t="shared" si="36"/>
        <v/>
      </c>
      <c r="G163" s="63" t="str">
        <f t="shared" ref="G163:G226" si="38">IF(D163 = "", "", IF(D163 &gt;= 70, "FCD", IF(D163 &gt;= 60, "FC", IF(D163 &gt;= 35, "SC", ""))))</f>
        <v/>
      </c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</row>
    <row r="164" spans="1:23" s="15" customFormat="1" ht="14.15" x14ac:dyDescent="0.35">
      <c r="A164" s="68" t="str">
        <f>IF(B164&lt;&gt;"",COUNTA($B$35:B164),"")</f>
        <v/>
      </c>
      <c r="B164" s="30"/>
      <c r="C164" s="30"/>
      <c r="D164" s="62" t="str">
        <f t="shared" si="35"/>
        <v/>
      </c>
      <c r="E164" s="68" t="str">
        <f t="shared" si="37"/>
        <v/>
      </c>
      <c r="F164" s="68" t="str">
        <f t="shared" si="36"/>
        <v/>
      </c>
      <c r="G164" s="63" t="str">
        <f t="shared" si="38"/>
        <v/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</row>
    <row r="165" spans="1:23" s="15" customFormat="1" ht="14.15" x14ac:dyDescent="0.35">
      <c r="A165" s="68" t="str">
        <f>IF(B165&lt;&gt;"",COUNTA($B$35:B165),"")</f>
        <v/>
      </c>
      <c r="B165" s="30"/>
      <c r="C165" s="30"/>
      <c r="D165" s="62" t="str">
        <f t="shared" ref="D165:D228" si="39">IF(C165="","",(SUM(H165:W165)/D$29)*100)</f>
        <v/>
      </c>
      <c r="E165" s="68" t="str">
        <f t="shared" si="37"/>
        <v/>
      </c>
      <c r="F165" s="68" t="str">
        <f t="shared" ref="F165:F228" si="40">IF(E165="Pass",G165, IF(E165="FAIL","FAIL",""))</f>
        <v/>
      </c>
      <c r="G165" s="63" t="str">
        <f t="shared" si="38"/>
        <v/>
      </c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</row>
    <row r="166" spans="1:23" s="15" customFormat="1" ht="14.15" x14ac:dyDescent="0.35">
      <c r="A166" s="68" t="str">
        <f>IF(B166&lt;&gt;"",COUNTA($B$35:B166),"")</f>
        <v/>
      </c>
      <c r="B166" s="30"/>
      <c r="C166" s="30"/>
      <c r="D166" s="62" t="str">
        <f t="shared" si="39"/>
        <v/>
      </c>
      <c r="E166" s="68" t="str">
        <f t="shared" si="37"/>
        <v/>
      </c>
      <c r="F166" s="68" t="str">
        <f t="shared" si="40"/>
        <v/>
      </c>
      <c r="G166" s="63" t="str">
        <f t="shared" si="38"/>
        <v/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</row>
    <row r="167" spans="1:23" s="15" customFormat="1" ht="14.15" x14ac:dyDescent="0.35">
      <c r="A167" s="68" t="str">
        <f>IF(B167&lt;&gt;"",COUNTA($B$35:B167),"")</f>
        <v/>
      </c>
      <c r="B167" s="30"/>
      <c r="C167" s="30"/>
      <c r="D167" s="62" t="str">
        <f t="shared" si="39"/>
        <v/>
      </c>
      <c r="E167" s="68" t="str">
        <f t="shared" si="37"/>
        <v/>
      </c>
      <c r="F167" s="68" t="str">
        <f t="shared" si="40"/>
        <v/>
      </c>
      <c r="G167" s="63" t="str">
        <f t="shared" si="38"/>
        <v/>
      </c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</row>
    <row r="168" spans="1:23" s="15" customFormat="1" ht="14.15" x14ac:dyDescent="0.35">
      <c r="A168" s="68" t="str">
        <f>IF(B168&lt;&gt;"",COUNTA($B$35:B168),"")</f>
        <v/>
      </c>
      <c r="B168" s="30"/>
      <c r="C168" s="30"/>
      <c r="D168" s="62" t="str">
        <f t="shared" si="39"/>
        <v/>
      </c>
      <c r="E168" s="68" t="str">
        <f t="shared" si="37"/>
        <v/>
      </c>
      <c r="F168" s="68" t="str">
        <f t="shared" si="40"/>
        <v/>
      </c>
      <c r="G168" s="63" t="str">
        <f t="shared" si="38"/>
        <v/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</row>
    <row r="169" spans="1:23" s="15" customFormat="1" ht="14.15" x14ac:dyDescent="0.35">
      <c r="A169" s="68" t="str">
        <f>IF(B169&lt;&gt;"",COUNTA($B$35:B169),"")</f>
        <v/>
      </c>
      <c r="B169" s="30"/>
      <c r="C169" s="30"/>
      <c r="D169" s="62" t="str">
        <f t="shared" si="39"/>
        <v/>
      </c>
      <c r="E169" s="68" t="str">
        <f t="shared" ref="E169:E232" si="41">IF(ISBLANK(B169),"",IF(OR(I169&lt;18,K169&lt;18,M169&lt;18,O169&lt;18,Q169&lt;18,S169&lt;18,U169&lt;18,W169&lt;18),"FAIL","PASS"))</f>
        <v/>
      </c>
      <c r="F169" s="68" t="str">
        <f t="shared" si="40"/>
        <v/>
      </c>
      <c r="G169" s="63" t="str">
        <f t="shared" si="38"/>
        <v/>
      </c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</row>
    <row r="170" spans="1:23" s="15" customFormat="1" ht="14.15" x14ac:dyDescent="0.35">
      <c r="A170" s="68" t="str">
        <f>IF(B170&lt;&gt;"",COUNTA($B$35:B170),"")</f>
        <v/>
      </c>
      <c r="B170" s="30"/>
      <c r="C170" s="30"/>
      <c r="D170" s="62" t="str">
        <f t="shared" si="39"/>
        <v/>
      </c>
      <c r="E170" s="68" t="str">
        <f t="shared" si="41"/>
        <v/>
      </c>
      <c r="F170" s="68" t="str">
        <f t="shared" si="40"/>
        <v/>
      </c>
      <c r="G170" s="63" t="str">
        <f t="shared" si="38"/>
        <v/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</row>
    <row r="171" spans="1:23" s="15" customFormat="1" ht="14.15" x14ac:dyDescent="0.35">
      <c r="A171" s="68" t="str">
        <f>IF(B171&lt;&gt;"",COUNTA($B$35:B171),"")</f>
        <v/>
      </c>
      <c r="B171" s="30"/>
      <c r="C171" s="30"/>
      <c r="D171" s="62" t="str">
        <f t="shared" si="39"/>
        <v/>
      </c>
      <c r="E171" s="68" t="str">
        <f t="shared" si="41"/>
        <v/>
      </c>
      <c r="F171" s="68" t="str">
        <f t="shared" si="40"/>
        <v/>
      </c>
      <c r="G171" s="63" t="str">
        <f t="shared" si="38"/>
        <v/>
      </c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2" spans="1:23" s="15" customFormat="1" ht="14.15" x14ac:dyDescent="0.35">
      <c r="A172" s="68" t="str">
        <f>IF(B172&lt;&gt;"",COUNTA($B$35:B172),"")</f>
        <v/>
      </c>
      <c r="B172" s="30"/>
      <c r="C172" s="30"/>
      <c r="D172" s="62" t="str">
        <f t="shared" si="39"/>
        <v/>
      </c>
      <c r="E172" s="68" t="str">
        <f t="shared" si="41"/>
        <v/>
      </c>
      <c r="F172" s="68" t="str">
        <f t="shared" si="40"/>
        <v/>
      </c>
      <c r="G172" s="63" t="str">
        <f t="shared" si="38"/>
        <v/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</row>
    <row r="173" spans="1:23" s="15" customFormat="1" ht="14.15" x14ac:dyDescent="0.35">
      <c r="A173" s="68" t="str">
        <f>IF(B173&lt;&gt;"",COUNTA($B$35:B173),"")</f>
        <v/>
      </c>
      <c r="B173" s="30"/>
      <c r="C173" s="30"/>
      <c r="D173" s="62" t="str">
        <f t="shared" si="39"/>
        <v/>
      </c>
      <c r="E173" s="68" t="str">
        <f t="shared" si="41"/>
        <v/>
      </c>
      <c r="F173" s="68" t="str">
        <f t="shared" si="40"/>
        <v/>
      </c>
      <c r="G173" s="63" t="str">
        <f t="shared" si="38"/>
        <v/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</row>
    <row r="174" spans="1:23" s="15" customFormat="1" ht="14.15" x14ac:dyDescent="0.35">
      <c r="A174" s="68" t="str">
        <f>IF(B174&lt;&gt;"",COUNTA($B$35:B174),"")</f>
        <v/>
      </c>
      <c r="B174" s="30"/>
      <c r="C174" s="30"/>
      <c r="D174" s="62" t="str">
        <f t="shared" si="39"/>
        <v/>
      </c>
      <c r="E174" s="68" t="str">
        <f t="shared" si="41"/>
        <v/>
      </c>
      <c r="F174" s="68" t="str">
        <f t="shared" si="40"/>
        <v/>
      </c>
      <c r="G174" s="63" t="str">
        <f t="shared" si="38"/>
        <v/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 spans="1:23" s="15" customFormat="1" ht="14.15" x14ac:dyDescent="0.35">
      <c r="A175" s="68" t="str">
        <f>IF(B175&lt;&gt;"",COUNTA($B$35:B175),"")</f>
        <v/>
      </c>
      <c r="B175" s="30"/>
      <c r="C175" s="30"/>
      <c r="D175" s="62" t="str">
        <f t="shared" si="39"/>
        <v/>
      </c>
      <c r="E175" s="68" t="str">
        <f t="shared" si="41"/>
        <v/>
      </c>
      <c r="F175" s="68" t="str">
        <f t="shared" si="40"/>
        <v/>
      </c>
      <c r="G175" s="63" t="str">
        <f t="shared" si="38"/>
        <v/>
      </c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</row>
    <row r="176" spans="1:23" s="15" customFormat="1" ht="14.15" x14ac:dyDescent="0.35">
      <c r="A176" s="68" t="str">
        <f>IF(B176&lt;&gt;"",COUNTA($B$35:B176),"")</f>
        <v/>
      </c>
      <c r="B176" s="30"/>
      <c r="C176" s="30"/>
      <c r="D176" s="62" t="str">
        <f t="shared" si="39"/>
        <v/>
      </c>
      <c r="E176" s="68" t="str">
        <f t="shared" si="41"/>
        <v/>
      </c>
      <c r="F176" s="68" t="str">
        <f t="shared" si="40"/>
        <v/>
      </c>
      <c r="G176" s="63" t="str">
        <f t="shared" si="38"/>
        <v/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</row>
    <row r="177" spans="1:23" s="15" customFormat="1" ht="14.15" x14ac:dyDescent="0.35">
      <c r="A177" s="68" t="str">
        <f>IF(B177&lt;&gt;"",COUNTA($B$35:B177),"")</f>
        <v/>
      </c>
      <c r="B177" s="30"/>
      <c r="C177" s="30"/>
      <c r="D177" s="62" t="str">
        <f t="shared" si="39"/>
        <v/>
      </c>
      <c r="E177" s="68" t="str">
        <f t="shared" si="41"/>
        <v/>
      </c>
      <c r="F177" s="68" t="str">
        <f t="shared" si="40"/>
        <v/>
      </c>
      <c r="G177" s="63" t="str">
        <f t="shared" si="38"/>
        <v/>
      </c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</row>
    <row r="178" spans="1:23" s="15" customFormat="1" ht="14.15" x14ac:dyDescent="0.35">
      <c r="A178" s="68" t="str">
        <f>IF(B178&lt;&gt;"",COUNTA($B$35:B178),"")</f>
        <v/>
      </c>
      <c r="B178" s="30"/>
      <c r="C178" s="30"/>
      <c r="D178" s="62" t="str">
        <f t="shared" si="39"/>
        <v/>
      </c>
      <c r="E178" s="68" t="str">
        <f t="shared" si="41"/>
        <v/>
      </c>
      <c r="F178" s="68" t="str">
        <f t="shared" si="40"/>
        <v/>
      </c>
      <c r="G178" s="63" t="str">
        <f t="shared" si="38"/>
        <v/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</row>
    <row r="179" spans="1:23" s="15" customFormat="1" ht="14.15" x14ac:dyDescent="0.35">
      <c r="A179" s="68" t="str">
        <f>IF(B179&lt;&gt;"",COUNTA($B$35:B179),"")</f>
        <v/>
      </c>
      <c r="B179" s="30"/>
      <c r="C179" s="30"/>
      <c r="D179" s="62" t="str">
        <f t="shared" si="39"/>
        <v/>
      </c>
      <c r="E179" s="68" t="str">
        <f t="shared" si="41"/>
        <v/>
      </c>
      <c r="F179" s="68" t="str">
        <f t="shared" si="40"/>
        <v/>
      </c>
      <c r="G179" s="63" t="str">
        <f t="shared" si="38"/>
        <v/>
      </c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</row>
    <row r="180" spans="1:23" s="15" customFormat="1" ht="14.15" x14ac:dyDescent="0.35">
      <c r="A180" s="68" t="str">
        <f>IF(B180&lt;&gt;"",COUNTA($B$35:B180),"")</f>
        <v/>
      </c>
      <c r="B180" s="30"/>
      <c r="C180" s="30"/>
      <c r="D180" s="62" t="str">
        <f t="shared" si="39"/>
        <v/>
      </c>
      <c r="E180" s="68" t="str">
        <f t="shared" si="41"/>
        <v/>
      </c>
      <c r="F180" s="68" t="str">
        <f t="shared" si="40"/>
        <v/>
      </c>
      <c r="G180" s="63" t="str">
        <f t="shared" si="38"/>
        <v/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</row>
    <row r="181" spans="1:23" s="15" customFormat="1" ht="14.15" x14ac:dyDescent="0.35">
      <c r="A181" s="68" t="str">
        <f>IF(B181&lt;&gt;"",COUNTA($B$35:B181),"")</f>
        <v/>
      </c>
      <c r="B181" s="30"/>
      <c r="C181" s="30"/>
      <c r="D181" s="62" t="str">
        <f t="shared" si="39"/>
        <v/>
      </c>
      <c r="E181" s="68" t="str">
        <f t="shared" si="41"/>
        <v/>
      </c>
      <c r="F181" s="68" t="str">
        <f t="shared" si="40"/>
        <v/>
      </c>
      <c r="G181" s="63" t="str">
        <f t="shared" si="38"/>
        <v/>
      </c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</row>
    <row r="182" spans="1:23" s="15" customFormat="1" ht="14.15" x14ac:dyDescent="0.35">
      <c r="A182" s="68" t="str">
        <f>IF(B182&lt;&gt;"",COUNTA($B$35:B182),"")</f>
        <v/>
      </c>
      <c r="B182" s="30"/>
      <c r="C182" s="30"/>
      <c r="D182" s="62" t="str">
        <f t="shared" si="39"/>
        <v/>
      </c>
      <c r="E182" s="68" t="str">
        <f t="shared" si="41"/>
        <v/>
      </c>
      <c r="F182" s="68" t="str">
        <f t="shared" si="40"/>
        <v/>
      </c>
      <c r="G182" s="63" t="str">
        <f t="shared" si="38"/>
        <v/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</row>
    <row r="183" spans="1:23" s="15" customFormat="1" ht="14.15" x14ac:dyDescent="0.35">
      <c r="A183" s="68" t="str">
        <f>IF(B183&lt;&gt;"",COUNTA($B$35:B183),"")</f>
        <v/>
      </c>
      <c r="B183" s="30"/>
      <c r="C183" s="30"/>
      <c r="D183" s="62" t="str">
        <f t="shared" si="39"/>
        <v/>
      </c>
      <c r="E183" s="68" t="str">
        <f t="shared" si="41"/>
        <v/>
      </c>
      <c r="F183" s="68" t="str">
        <f t="shared" si="40"/>
        <v/>
      </c>
      <c r="G183" s="63" t="str">
        <f t="shared" si="38"/>
        <v/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</row>
    <row r="184" spans="1:23" s="15" customFormat="1" ht="14.15" x14ac:dyDescent="0.35">
      <c r="A184" s="68" t="str">
        <f>IF(B184&lt;&gt;"",COUNTA($B$35:B184),"")</f>
        <v/>
      </c>
      <c r="B184" s="30"/>
      <c r="C184" s="30"/>
      <c r="D184" s="62" t="str">
        <f t="shared" si="39"/>
        <v/>
      </c>
      <c r="E184" s="68" t="str">
        <f t="shared" si="41"/>
        <v/>
      </c>
      <c r="F184" s="68" t="str">
        <f t="shared" si="40"/>
        <v/>
      </c>
      <c r="G184" s="63" t="str">
        <f t="shared" si="38"/>
        <v/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</row>
    <row r="185" spans="1:23" s="15" customFormat="1" ht="14.15" x14ac:dyDescent="0.35">
      <c r="A185" s="68" t="str">
        <f>IF(B185&lt;&gt;"",COUNTA($B$35:B185),"")</f>
        <v/>
      </c>
      <c r="B185" s="30"/>
      <c r="C185" s="30"/>
      <c r="D185" s="62" t="str">
        <f t="shared" si="39"/>
        <v/>
      </c>
      <c r="E185" s="68" t="str">
        <f t="shared" si="41"/>
        <v/>
      </c>
      <c r="F185" s="68" t="str">
        <f t="shared" si="40"/>
        <v/>
      </c>
      <c r="G185" s="63" t="str">
        <f t="shared" si="38"/>
        <v/>
      </c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</row>
    <row r="186" spans="1:23" s="15" customFormat="1" ht="14.15" x14ac:dyDescent="0.35">
      <c r="A186" s="68" t="str">
        <f>IF(B186&lt;&gt;"",COUNTA($B$35:B186),"")</f>
        <v/>
      </c>
      <c r="B186" s="30"/>
      <c r="C186" s="30"/>
      <c r="D186" s="62" t="str">
        <f t="shared" si="39"/>
        <v/>
      </c>
      <c r="E186" s="68" t="str">
        <f t="shared" si="41"/>
        <v/>
      </c>
      <c r="F186" s="68" t="str">
        <f t="shared" si="40"/>
        <v/>
      </c>
      <c r="G186" s="63" t="str">
        <f t="shared" si="38"/>
        <v/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</row>
    <row r="187" spans="1:23" s="15" customFormat="1" ht="14.15" x14ac:dyDescent="0.35">
      <c r="A187" s="68" t="str">
        <f>IF(B187&lt;&gt;"",COUNTA($B$35:B187),"")</f>
        <v/>
      </c>
      <c r="B187" s="30"/>
      <c r="C187" s="30"/>
      <c r="D187" s="62" t="str">
        <f t="shared" si="39"/>
        <v/>
      </c>
      <c r="E187" s="68" t="str">
        <f t="shared" si="41"/>
        <v/>
      </c>
      <c r="F187" s="68" t="str">
        <f t="shared" si="40"/>
        <v/>
      </c>
      <c r="G187" s="63" t="str">
        <f t="shared" si="38"/>
        <v/>
      </c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</row>
    <row r="188" spans="1:23" s="15" customFormat="1" ht="14.15" x14ac:dyDescent="0.35">
      <c r="A188" s="68" t="str">
        <f>IF(B188&lt;&gt;"",COUNTA($B$35:B188),"")</f>
        <v/>
      </c>
      <c r="B188" s="30"/>
      <c r="C188" s="30"/>
      <c r="D188" s="62" t="str">
        <f t="shared" si="39"/>
        <v/>
      </c>
      <c r="E188" s="68" t="str">
        <f t="shared" si="41"/>
        <v/>
      </c>
      <c r="F188" s="68" t="str">
        <f t="shared" si="40"/>
        <v/>
      </c>
      <c r="G188" s="63" t="str">
        <f t="shared" si="38"/>
        <v/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</row>
    <row r="189" spans="1:23" s="77" customFormat="1" x14ac:dyDescent="0.4">
      <c r="A189" s="82" t="str">
        <f>IF(B189&lt;&gt;"",COUNTA($B$35:B189),"")</f>
        <v/>
      </c>
      <c r="B189" s="87"/>
      <c r="C189" s="87"/>
      <c r="D189" s="88" t="str">
        <f t="shared" si="39"/>
        <v/>
      </c>
      <c r="E189" s="82" t="str">
        <f t="shared" si="41"/>
        <v/>
      </c>
      <c r="F189" s="82" t="str">
        <f t="shared" si="40"/>
        <v/>
      </c>
      <c r="G189" s="89" t="str">
        <f t="shared" si="38"/>
        <v/>
      </c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</row>
    <row r="190" spans="1:23" s="77" customFormat="1" x14ac:dyDescent="0.4">
      <c r="A190" s="82" t="str">
        <f>IF(B190&lt;&gt;"",COUNTA($B$35:B190),"")</f>
        <v/>
      </c>
      <c r="B190" s="87"/>
      <c r="C190" s="87"/>
      <c r="D190" s="88" t="str">
        <f t="shared" si="39"/>
        <v/>
      </c>
      <c r="E190" s="82" t="str">
        <f t="shared" si="41"/>
        <v/>
      </c>
      <c r="F190" s="82" t="str">
        <f t="shared" si="40"/>
        <v/>
      </c>
      <c r="G190" s="89" t="str">
        <f t="shared" si="38"/>
        <v/>
      </c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</row>
    <row r="191" spans="1:23" s="77" customFormat="1" x14ac:dyDescent="0.4">
      <c r="A191" s="82" t="str">
        <f>IF(B191&lt;&gt;"",COUNTA($B$35:B191),"")</f>
        <v/>
      </c>
      <c r="B191" s="87"/>
      <c r="C191" s="87"/>
      <c r="D191" s="88" t="str">
        <f t="shared" si="39"/>
        <v/>
      </c>
      <c r="E191" s="82" t="str">
        <f t="shared" si="41"/>
        <v/>
      </c>
      <c r="F191" s="82" t="str">
        <f t="shared" si="40"/>
        <v/>
      </c>
      <c r="G191" s="89" t="str">
        <f t="shared" si="38"/>
        <v/>
      </c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</row>
    <row r="192" spans="1:23" s="77" customFormat="1" x14ac:dyDescent="0.4">
      <c r="A192" s="82" t="str">
        <f>IF(B192&lt;&gt;"",COUNTA($B$35:B192),"")</f>
        <v/>
      </c>
      <c r="B192" s="87"/>
      <c r="C192" s="87"/>
      <c r="D192" s="88" t="str">
        <f t="shared" si="39"/>
        <v/>
      </c>
      <c r="E192" s="82" t="str">
        <f t="shared" si="41"/>
        <v/>
      </c>
      <c r="F192" s="82" t="str">
        <f t="shared" si="40"/>
        <v/>
      </c>
      <c r="G192" s="89" t="str">
        <f t="shared" si="38"/>
        <v/>
      </c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</row>
    <row r="193" spans="1:23" s="77" customFormat="1" x14ac:dyDescent="0.4">
      <c r="A193" s="82" t="str">
        <f>IF(B193&lt;&gt;"",COUNTA($B$35:B193),"")</f>
        <v/>
      </c>
      <c r="B193" s="87"/>
      <c r="C193" s="87"/>
      <c r="D193" s="88" t="str">
        <f t="shared" si="39"/>
        <v/>
      </c>
      <c r="E193" s="82" t="str">
        <f t="shared" si="41"/>
        <v/>
      </c>
      <c r="F193" s="82" t="str">
        <f t="shared" si="40"/>
        <v/>
      </c>
      <c r="G193" s="89" t="str">
        <f t="shared" si="38"/>
        <v/>
      </c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</row>
    <row r="194" spans="1:23" s="77" customFormat="1" x14ac:dyDescent="0.4">
      <c r="A194" s="82" t="str">
        <f>IF(B194&lt;&gt;"",COUNTA($B$35:B194),"")</f>
        <v/>
      </c>
      <c r="B194" s="87"/>
      <c r="C194" s="87"/>
      <c r="D194" s="88" t="str">
        <f t="shared" si="39"/>
        <v/>
      </c>
      <c r="E194" s="82" t="str">
        <f t="shared" si="41"/>
        <v/>
      </c>
      <c r="F194" s="82" t="str">
        <f t="shared" si="40"/>
        <v/>
      </c>
      <c r="G194" s="89" t="str">
        <f t="shared" si="38"/>
        <v/>
      </c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</row>
    <row r="195" spans="1:23" s="77" customFormat="1" x14ac:dyDescent="0.4">
      <c r="A195" s="82" t="str">
        <f>IF(B195&lt;&gt;"",COUNTA($B$35:B195),"")</f>
        <v/>
      </c>
      <c r="B195" s="87"/>
      <c r="C195" s="87"/>
      <c r="D195" s="88" t="str">
        <f t="shared" si="39"/>
        <v/>
      </c>
      <c r="E195" s="82" t="str">
        <f t="shared" si="41"/>
        <v/>
      </c>
      <c r="F195" s="82" t="str">
        <f t="shared" si="40"/>
        <v/>
      </c>
      <c r="G195" s="89" t="str">
        <f t="shared" si="38"/>
        <v/>
      </c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</row>
    <row r="196" spans="1:23" s="77" customFormat="1" x14ac:dyDescent="0.4">
      <c r="A196" s="82" t="str">
        <f>IF(B196&lt;&gt;"",COUNTA($B$35:B196),"")</f>
        <v/>
      </c>
      <c r="B196" s="87"/>
      <c r="C196" s="87"/>
      <c r="D196" s="88" t="str">
        <f t="shared" si="39"/>
        <v/>
      </c>
      <c r="E196" s="82" t="str">
        <f t="shared" si="41"/>
        <v/>
      </c>
      <c r="F196" s="82" t="str">
        <f t="shared" si="40"/>
        <v/>
      </c>
      <c r="G196" s="89" t="str">
        <f t="shared" si="38"/>
        <v/>
      </c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</row>
    <row r="197" spans="1:23" s="77" customFormat="1" x14ac:dyDescent="0.4">
      <c r="A197" s="82" t="str">
        <f>IF(B197&lt;&gt;"",COUNTA($B$35:B197),"")</f>
        <v/>
      </c>
      <c r="B197" s="87"/>
      <c r="C197" s="87"/>
      <c r="D197" s="88" t="str">
        <f t="shared" si="39"/>
        <v/>
      </c>
      <c r="E197" s="82" t="str">
        <f t="shared" si="41"/>
        <v/>
      </c>
      <c r="F197" s="82" t="str">
        <f t="shared" si="40"/>
        <v/>
      </c>
      <c r="G197" s="89" t="str">
        <f t="shared" si="38"/>
        <v/>
      </c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</row>
    <row r="198" spans="1:23" s="77" customFormat="1" x14ac:dyDescent="0.4">
      <c r="A198" s="82" t="str">
        <f>IF(B198&lt;&gt;"",COUNTA($B$35:B198),"")</f>
        <v/>
      </c>
      <c r="B198" s="87"/>
      <c r="C198" s="87"/>
      <c r="D198" s="88" t="str">
        <f t="shared" si="39"/>
        <v/>
      </c>
      <c r="E198" s="82" t="str">
        <f t="shared" si="41"/>
        <v/>
      </c>
      <c r="F198" s="82" t="str">
        <f t="shared" si="40"/>
        <v/>
      </c>
      <c r="G198" s="89" t="str">
        <f t="shared" si="38"/>
        <v/>
      </c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</row>
    <row r="199" spans="1:23" s="77" customFormat="1" x14ac:dyDescent="0.4">
      <c r="A199" s="82" t="str">
        <f>IF(B199&lt;&gt;"",COUNTA($B$35:B199),"")</f>
        <v/>
      </c>
      <c r="B199" s="87"/>
      <c r="C199" s="87"/>
      <c r="D199" s="88" t="str">
        <f t="shared" si="39"/>
        <v/>
      </c>
      <c r="E199" s="82" t="str">
        <f t="shared" si="41"/>
        <v/>
      </c>
      <c r="F199" s="82" t="str">
        <f t="shared" si="40"/>
        <v/>
      </c>
      <c r="G199" s="89" t="str">
        <f t="shared" si="38"/>
        <v/>
      </c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</row>
    <row r="200" spans="1:23" s="77" customFormat="1" x14ac:dyDescent="0.4">
      <c r="A200" s="82" t="str">
        <f>IF(B200&lt;&gt;"",COUNTA($B$35:B200),"")</f>
        <v/>
      </c>
      <c r="B200" s="87"/>
      <c r="C200" s="87"/>
      <c r="D200" s="88" t="str">
        <f t="shared" si="39"/>
        <v/>
      </c>
      <c r="E200" s="82" t="str">
        <f t="shared" si="41"/>
        <v/>
      </c>
      <c r="F200" s="82" t="str">
        <f t="shared" si="40"/>
        <v/>
      </c>
      <c r="G200" s="89" t="str">
        <f t="shared" si="38"/>
        <v/>
      </c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</row>
    <row r="201" spans="1:23" s="77" customFormat="1" x14ac:dyDescent="0.4">
      <c r="A201" s="82" t="str">
        <f>IF(B201&lt;&gt;"",COUNTA($B$35:B201),"")</f>
        <v/>
      </c>
      <c r="B201" s="87"/>
      <c r="C201" s="87"/>
      <c r="D201" s="88" t="str">
        <f t="shared" si="39"/>
        <v/>
      </c>
      <c r="E201" s="82" t="str">
        <f t="shared" si="41"/>
        <v/>
      </c>
      <c r="F201" s="82" t="str">
        <f t="shared" si="40"/>
        <v/>
      </c>
      <c r="G201" s="89" t="str">
        <f t="shared" si="38"/>
        <v/>
      </c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</row>
    <row r="202" spans="1:23" s="77" customFormat="1" x14ac:dyDescent="0.4">
      <c r="A202" s="82" t="str">
        <f>IF(B202&lt;&gt;"",COUNTA($B$35:B202),"")</f>
        <v/>
      </c>
      <c r="B202" s="87"/>
      <c r="C202" s="87"/>
      <c r="D202" s="88" t="str">
        <f t="shared" si="39"/>
        <v/>
      </c>
      <c r="E202" s="82" t="str">
        <f t="shared" si="41"/>
        <v/>
      </c>
      <c r="F202" s="82" t="str">
        <f t="shared" si="40"/>
        <v/>
      </c>
      <c r="G202" s="89" t="str">
        <f t="shared" si="38"/>
        <v/>
      </c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</row>
    <row r="203" spans="1:23" s="77" customFormat="1" x14ac:dyDescent="0.4">
      <c r="A203" s="82" t="str">
        <f>IF(B203&lt;&gt;"",COUNTA($B$35:B203),"")</f>
        <v/>
      </c>
      <c r="B203" s="87"/>
      <c r="C203" s="87"/>
      <c r="D203" s="88" t="str">
        <f t="shared" si="39"/>
        <v/>
      </c>
      <c r="E203" s="82" t="str">
        <f t="shared" si="41"/>
        <v/>
      </c>
      <c r="F203" s="82" t="str">
        <f t="shared" si="40"/>
        <v/>
      </c>
      <c r="G203" s="89" t="str">
        <f t="shared" si="38"/>
        <v/>
      </c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</row>
    <row r="204" spans="1:23" s="77" customFormat="1" x14ac:dyDescent="0.4">
      <c r="A204" s="82" t="str">
        <f>IF(B204&lt;&gt;"",COUNTA($B$35:B204),"")</f>
        <v/>
      </c>
      <c r="B204" s="87"/>
      <c r="C204" s="87"/>
      <c r="D204" s="88" t="str">
        <f t="shared" si="39"/>
        <v/>
      </c>
      <c r="E204" s="82" t="str">
        <f t="shared" si="41"/>
        <v/>
      </c>
      <c r="F204" s="82" t="str">
        <f t="shared" si="40"/>
        <v/>
      </c>
      <c r="G204" s="89" t="str">
        <f t="shared" si="38"/>
        <v/>
      </c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</row>
    <row r="205" spans="1:23" s="77" customFormat="1" x14ac:dyDescent="0.4">
      <c r="A205" s="82" t="str">
        <f>IF(B205&lt;&gt;"",COUNTA($B$35:B205),"")</f>
        <v/>
      </c>
      <c r="B205" s="87"/>
      <c r="C205" s="87"/>
      <c r="D205" s="88" t="str">
        <f t="shared" si="39"/>
        <v/>
      </c>
      <c r="E205" s="82" t="str">
        <f t="shared" si="41"/>
        <v/>
      </c>
      <c r="F205" s="82" t="str">
        <f t="shared" si="40"/>
        <v/>
      </c>
      <c r="G205" s="89" t="str">
        <f t="shared" si="38"/>
        <v/>
      </c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</row>
    <row r="206" spans="1:23" s="77" customFormat="1" x14ac:dyDescent="0.4">
      <c r="A206" s="82" t="str">
        <f>IF(B206&lt;&gt;"",COUNTA($B$35:B206),"")</f>
        <v/>
      </c>
      <c r="B206" s="87"/>
      <c r="C206" s="87"/>
      <c r="D206" s="88" t="str">
        <f t="shared" si="39"/>
        <v/>
      </c>
      <c r="E206" s="82" t="str">
        <f t="shared" si="41"/>
        <v/>
      </c>
      <c r="F206" s="82" t="str">
        <f t="shared" si="40"/>
        <v/>
      </c>
      <c r="G206" s="89" t="str">
        <f t="shared" si="38"/>
        <v/>
      </c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</row>
    <row r="207" spans="1:23" s="77" customFormat="1" x14ac:dyDescent="0.4">
      <c r="A207" s="82" t="str">
        <f>IF(B207&lt;&gt;"",COUNTA($B$35:B207),"")</f>
        <v/>
      </c>
      <c r="B207" s="87"/>
      <c r="C207" s="87"/>
      <c r="D207" s="88" t="str">
        <f t="shared" si="39"/>
        <v/>
      </c>
      <c r="E207" s="82" t="str">
        <f t="shared" si="41"/>
        <v/>
      </c>
      <c r="F207" s="82" t="str">
        <f t="shared" si="40"/>
        <v/>
      </c>
      <c r="G207" s="89" t="str">
        <f t="shared" si="38"/>
        <v/>
      </c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</row>
    <row r="208" spans="1:23" s="77" customFormat="1" x14ac:dyDescent="0.4">
      <c r="A208" s="82" t="str">
        <f>IF(B208&lt;&gt;"",COUNTA($B$35:B208),"")</f>
        <v/>
      </c>
      <c r="B208" s="87"/>
      <c r="C208" s="87"/>
      <c r="D208" s="88" t="str">
        <f t="shared" si="39"/>
        <v/>
      </c>
      <c r="E208" s="82" t="str">
        <f t="shared" si="41"/>
        <v/>
      </c>
      <c r="F208" s="82" t="str">
        <f t="shared" si="40"/>
        <v/>
      </c>
      <c r="G208" s="89" t="str">
        <f t="shared" si="38"/>
        <v/>
      </c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</row>
    <row r="209" spans="1:23" s="77" customFormat="1" x14ac:dyDescent="0.4">
      <c r="A209" s="82" t="str">
        <f>IF(B209&lt;&gt;"",COUNTA($B$35:B209),"")</f>
        <v/>
      </c>
      <c r="B209" s="87"/>
      <c r="C209" s="87"/>
      <c r="D209" s="88" t="str">
        <f t="shared" si="39"/>
        <v/>
      </c>
      <c r="E209" s="82" t="str">
        <f t="shared" si="41"/>
        <v/>
      </c>
      <c r="F209" s="82" t="str">
        <f t="shared" si="40"/>
        <v/>
      </c>
      <c r="G209" s="89" t="str">
        <f t="shared" si="38"/>
        <v/>
      </c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</row>
    <row r="210" spans="1:23" s="77" customFormat="1" x14ac:dyDescent="0.4">
      <c r="A210" s="82" t="str">
        <f>IF(B210&lt;&gt;"",COUNTA($B$35:B210),"")</f>
        <v/>
      </c>
      <c r="B210" s="87"/>
      <c r="C210" s="87"/>
      <c r="D210" s="88" t="str">
        <f t="shared" si="39"/>
        <v/>
      </c>
      <c r="E210" s="82" t="str">
        <f t="shared" si="41"/>
        <v/>
      </c>
      <c r="F210" s="82" t="str">
        <f t="shared" si="40"/>
        <v/>
      </c>
      <c r="G210" s="89" t="str">
        <f t="shared" si="38"/>
        <v/>
      </c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</row>
    <row r="211" spans="1:23" s="77" customFormat="1" x14ac:dyDescent="0.4">
      <c r="A211" s="82" t="str">
        <f>IF(B211&lt;&gt;"",COUNTA($B$35:B211),"")</f>
        <v/>
      </c>
      <c r="B211" s="87"/>
      <c r="C211" s="87"/>
      <c r="D211" s="88" t="str">
        <f t="shared" si="39"/>
        <v/>
      </c>
      <c r="E211" s="82" t="str">
        <f t="shared" si="41"/>
        <v/>
      </c>
      <c r="F211" s="82" t="str">
        <f t="shared" si="40"/>
        <v/>
      </c>
      <c r="G211" s="89" t="str">
        <f t="shared" si="38"/>
        <v/>
      </c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</row>
    <row r="212" spans="1:23" s="77" customFormat="1" x14ac:dyDescent="0.4">
      <c r="A212" s="82" t="str">
        <f>IF(B212&lt;&gt;"",COUNTA($B$35:B212),"")</f>
        <v/>
      </c>
      <c r="B212" s="87"/>
      <c r="C212" s="87"/>
      <c r="D212" s="88" t="str">
        <f t="shared" si="39"/>
        <v/>
      </c>
      <c r="E212" s="82" t="str">
        <f t="shared" si="41"/>
        <v/>
      </c>
      <c r="F212" s="82" t="str">
        <f t="shared" si="40"/>
        <v/>
      </c>
      <c r="G212" s="89" t="str">
        <f t="shared" si="38"/>
        <v/>
      </c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</row>
    <row r="213" spans="1:23" s="77" customFormat="1" x14ac:dyDescent="0.4">
      <c r="A213" s="82" t="str">
        <f>IF(B213&lt;&gt;"",COUNTA($B$35:B213),"")</f>
        <v/>
      </c>
      <c r="B213" s="87"/>
      <c r="C213" s="87"/>
      <c r="D213" s="88" t="str">
        <f t="shared" si="39"/>
        <v/>
      </c>
      <c r="E213" s="82" t="str">
        <f t="shared" si="41"/>
        <v/>
      </c>
      <c r="F213" s="82" t="str">
        <f t="shared" si="40"/>
        <v/>
      </c>
      <c r="G213" s="89" t="str">
        <f t="shared" si="38"/>
        <v/>
      </c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</row>
    <row r="214" spans="1:23" s="77" customFormat="1" x14ac:dyDescent="0.4">
      <c r="A214" s="82" t="str">
        <f>IF(B214&lt;&gt;"",COUNTA($B$35:B214),"")</f>
        <v/>
      </c>
      <c r="B214" s="87"/>
      <c r="C214" s="87"/>
      <c r="D214" s="88" t="str">
        <f t="shared" si="39"/>
        <v/>
      </c>
      <c r="E214" s="82" t="str">
        <f t="shared" si="41"/>
        <v/>
      </c>
      <c r="F214" s="82" t="str">
        <f t="shared" si="40"/>
        <v/>
      </c>
      <c r="G214" s="89" t="str">
        <f t="shared" si="38"/>
        <v/>
      </c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</row>
    <row r="215" spans="1:23" s="77" customFormat="1" x14ac:dyDescent="0.4">
      <c r="A215" s="82" t="str">
        <f>IF(B215&lt;&gt;"",COUNTA($B$35:B215),"")</f>
        <v/>
      </c>
      <c r="B215" s="87"/>
      <c r="C215" s="87"/>
      <c r="D215" s="88" t="str">
        <f t="shared" si="39"/>
        <v/>
      </c>
      <c r="E215" s="82" t="str">
        <f t="shared" si="41"/>
        <v/>
      </c>
      <c r="F215" s="82" t="str">
        <f t="shared" si="40"/>
        <v/>
      </c>
      <c r="G215" s="89" t="str">
        <f t="shared" si="38"/>
        <v/>
      </c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</row>
    <row r="216" spans="1:23" s="77" customFormat="1" x14ac:dyDescent="0.4">
      <c r="A216" s="82" t="str">
        <f>IF(B216&lt;&gt;"",COUNTA($B$35:B216),"")</f>
        <v/>
      </c>
      <c r="B216" s="87"/>
      <c r="C216" s="87"/>
      <c r="D216" s="88" t="str">
        <f t="shared" si="39"/>
        <v/>
      </c>
      <c r="E216" s="82" t="str">
        <f t="shared" si="41"/>
        <v/>
      </c>
      <c r="F216" s="82" t="str">
        <f t="shared" si="40"/>
        <v/>
      </c>
      <c r="G216" s="89" t="str">
        <f t="shared" si="38"/>
        <v/>
      </c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</row>
    <row r="217" spans="1:23" s="77" customFormat="1" x14ac:dyDescent="0.4">
      <c r="A217" s="82" t="str">
        <f>IF(B217&lt;&gt;"",COUNTA($B$35:B217),"")</f>
        <v/>
      </c>
      <c r="B217" s="87"/>
      <c r="C217" s="87"/>
      <c r="D217" s="88" t="str">
        <f t="shared" si="39"/>
        <v/>
      </c>
      <c r="E217" s="82" t="str">
        <f t="shared" si="41"/>
        <v/>
      </c>
      <c r="F217" s="82" t="str">
        <f t="shared" si="40"/>
        <v/>
      </c>
      <c r="G217" s="89" t="str">
        <f t="shared" si="38"/>
        <v/>
      </c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</row>
    <row r="218" spans="1:23" s="77" customFormat="1" x14ac:dyDescent="0.4">
      <c r="A218" s="82" t="str">
        <f>IF(B218&lt;&gt;"",COUNTA($B$35:B218),"")</f>
        <v/>
      </c>
      <c r="B218" s="87"/>
      <c r="C218" s="87"/>
      <c r="D218" s="88" t="str">
        <f t="shared" si="39"/>
        <v/>
      </c>
      <c r="E218" s="82" t="str">
        <f t="shared" si="41"/>
        <v/>
      </c>
      <c r="F218" s="82" t="str">
        <f t="shared" si="40"/>
        <v/>
      </c>
      <c r="G218" s="89" t="str">
        <f t="shared" si="38"/>
        <v/>
      </c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</row>
    <row r="219" spans="1:23" s="77" customFormat="1" x14ac:dyDescent="0.4">
      <c r="A219" s="82" t="str">
        <f>IF(B219&lt;&gt;"",COUNTA($B$35:B219),"")</f>
        <v/>
      </c>
      <c r="B219" s="87"/>
      <c r="C219" s="87"/>
      <c r="D219" s="88" t="str">
        <f t="shared" si="39"/>
        <v/>
      </c>
      <c r="E219" s="82" t="str">
        <f t="shared" si="41"/>
        <v/>
      </c>
      <c r="F219" s="82" t="str">
        <f t="shared" si="40"/>
        <v/>
      </c>
      <c r="G219" s="89" t="str">
        <f t="shared" si="38"/>
        <v/>
      </c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</row>
    <row r="220" spans="1:23" s="77" customFormat="1" x14ac:dyDescent="0.4">
      <c r="A220" s="82" t="str">
        <f>IF(B220&lt;&gt;"",COUNTA($B$35:B220),"")</f>
        <v/>
      </c>
      <c r="B220" s="87"/>
      <c r="C220" s="87"/>
      <c r="D220" s="88" t="str">
        <f t="shared" si="39"/>
        <v/>
      </c>
      <c r="E220" s="82" t="str">
        <f t="shared" si="41"/>
        <v/>
      </c>
      <c r="F220" s="82" t="str">
        <f t="shared" si="40"/>
        <v/>
      </c>
      <c r="G220" s="89" t="str">
        <f t="shared" si="38"/>
        <v/>
      </c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</row>
    <row r="221" spans="1:23" s="77" customFormat="1" x14ac:dyDescent="0.4">
      <c r="A221" s="82" t="str">
        <f>IF(B221&lt;&gt;"",COUNTA($B$35:B221),"")</f>
        <v/>
      </c>
      <c r="B221" s="87"/>
      <c r="C221" s="87"/>
      <c r="D221" s="88" t="str">
        <f t="shared" si="39"/>
        <v/>
      </c>
      <c r="E221" s="82" t="str">
        <f t="shared" si="41"/>
        <v/>
      </c>
      <c r="F221" s="82" t="str">
        <f t="shared" si="40"/>
        <v/>
      </c>
      <c r="G221" s="89" t="str">
        <f t="shared" si="38"/>
        <v/>
      </c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</row>
    <row r="222" spans="1:23" s="77" customFormat="1" x14ac:dyDescent="0.4">
      <c r="A222" s="82" t="str">
        <f>IF(B222&lt;&gt;"",COUNTA($B$35:B222),"")</f>
        <v/>
      </c>
      <c r="B222" s="87"/>
      <c r="C222" s="87"/>
      <c r="D222" s="88" t="str">
        <f t="shared" si="39"/>
        <v/>
      </c>
      <c r="E222" s="82" t="str">
        <f t="shared" si="41"/>
        <v/>
      </c>
      <c r="F222" s="82" t="str">
        <f t="shared" si="40"/>
        <v/>
      </c>
      <c r="G222" s="89" t="str">
        <f t="shared" si="38"/>
        <v/>
      </c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</row>
    <row r="223" spans="1:23" s="77" customFormat="1" x14ac:dyDescent="0.4">
      <c r="A223" s="82" t="str">
        <f>IF(B223&lt;&gt;"",COUNTA($B$35:B223),"")</f>
        <v/>
      </c>
      <c r="B223" s="87"/>
      <c r="C223" s="87"/>
      <c r="D223" s="88" t="str">
        <f t="shared" si="39"/>
        <v/>
      </c>
      <c r="E223" s="82" t="str">
        <f t="shared" si="41"/>
        <v/>
      </c>
      <c r="F223" s="82" t="str">
        <f t="shared" si="40"/>
        <v/>
      </c>
      <c r="G223" s="89" t="str">
        <f t="shared" si="38"/>
        <v/>
      </c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</row>
    <row r="224" spans="1:23" s="77" customFormat="1" x14ac:dyDescent="0.4">
      <c r="A224" s="82" t="str">
        <f>IF(B224&lt;&gt;"",COUNTA($B$35:B224),"")</f>
        <v/>
      </c>
      <c r="B224" s="87"/>
      <c r="C224" s="87"/>
      <c r="D224" s="88" t="str">
        <f t="shared" si="39"/>
        <v/>
      </c>
      <c r="E224" s="82" t="str">
        <f t="shared" si="41"/>
        <v/>
      </c>
      <c r="F224" s="82" t="str">
        <f t="shared" si="40"/>
        <v/>
      </c>
      <c r="G224" s="89" t="str">
        <f t="shared" si="38"/>
        <v/>
      </c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</row>
    <row r="225" spans="1:23" s="77" customFormat="1" x14ac:dyDescent="0.4">
      <c r="A225" s="82" t="str">
        <f>IF(B225&lt;&gt;"",COUNTA($B$35:B225),"")</f>
        <v/>
      </c>
      <c r="B225" s="87"/>
      <c r="C225" s="87"/>
      <c r="D225" s="88" t="str">
        <f t="shared" si="39"/>
        <v/>
      </c>
      <c r="E225" s="82" t="str">
        <f t="shared" si="41"/>
        <v/>
      </c>
      <c r="F225" s="82" t="str">
        <f t="shared" si="40"/>
        <v/>
      </c>
      <c r="G225" s="89" t="str">
        <f t="shared" si="38"/>
        <v/>
      </c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</row>
    <row r="226" spans="1:23" s="77" customFormat="1" x14ac:dyDescent="0.4">
      <c r="A226" s="82" t="str">
        <f>IF(B226&lt;&gt;"",COUNTA($B$35:B226),"")</f>
        <v/>
      </c>
      <c r="B226" s="87"/>
      <c r="C226" s="87"/>
      <c r="D226" s="88" t="str">
        <f t="shared" si="39"/>
        <v/>
      </c>
      <c r="E226" s="82" t="str">
        <f t="shared" si="41"/>
        <v/>
      </c>
      <c r="F226" s="82" t="str">
        <f t="shared" si="40"/>
        <v/>
      </c>
      <c r="G226" s="89" t="str">
        <f t="shared" si="38"/>
        <v/>
      </c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</row>
    <row r="227" spans="1:23" s="77" customFormat="1" x14ac:dyDescent="0.4">
      <c r="A227" s="82" t="str">
        <f>IF(B227&lt;&gt;"",COUNTA($B$35:B227),"")</f>
        <v/>
      </c>
      <c r="B227" s="87"/>
      <c r="C227" s="87"/>
      <c r="D227" s="88" t="str">
        <f t="shared" si="39"/>
        <v/>
      </c>
      <c r="E227" s="82" t="str">
        <f t="shared" si="41"/>
        <v/>
      </c>
      <c r="F227" s="82" t="str">
        <f t="shared" si="40"/>
        <v/>
      </c>
      <c r="G227" s="89" t="str">
        <f t="shared" ref="G227:G234" si="42">IF(D227 = "", "", IF(D227 &gt;= 70, "FCD", IF(D227 &gt;= 60, "FC", IF(D227 &gt;= 35, "SC", ""))))</f>
        <v/>
      </c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</row>
    <row r="228" spans="1:23" s="77" customFormat="1" x14ac:dyDescent="0.4">
      <c r="A228" s="82" t="str">
        <f>IF(B228&lt;&gt;"",COUNTA($B$35:B228),"")</f>
        <v/>
      </c>
      <c r="B228" s="87"/>
      <c r="C228" s="87"/>
      <c r="D228" s="88" t="str">
        <f t="shared" si="39"/>
        <v/>
      </c>
      <c r="E228" s="82" t="str">
        <f t="shared" si="41"/>
        <v/>
      </c>
      <c r="F228" s="82" t="str">
        <f t="shared" si="40"/>
        <v/>
      </c>
      <c r="G228" s="89" t="str">
        <f t="shared" si="42"/>
        <v/>
      </c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</row>
    <row r="229" spans="1:23" s="77" customFormat="1" x14ac:dyDescent="0.4">
      <c r="A229" s="82" t="str">
        <f>IF(B229&lt;&gt;"",COUNTA($B$35:B229),"")</f>
        <v/>
      </c>
      <c r="B229" s="87"/>
      <c r="C229" s="87"/>
      <c r="D229" s="88" t="str">
        <f t="shared" ref="D229:D234" si="43">IF(C229="","",(SUM(H229:W229)/D$29)*100)</f>
        <v/>
      </c>
      <c r="E229" s="82" t="str">
        <f t="shared" si="41"/>
        <v/>
      </c>
      <c r="F229" s="82" t="str">
        <f t="shared" ref="F229:F234" si="44">IF(E229="Pass",G229, IF(E229="FAIL","FAIL",""))</f>
        <v/>
      </c>
      <c r="G229" s="89" t="str">
        <f t="shared" si="42"/>
        <v/>
      </c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</row>
    <row r="230" spans="1:23" s="77" customFormat="1" x14ac:dyDescent="0.4">
      <c r="A230" s="82" t="str">
        <f>IF(B230&lt;&gt;"",COUNTA($B$35:B230),"")</f>
        <v/>
      </c>
      <c r="B230" s="87"/>
      <c r="C230" s="87"/>
      <c r="D230" s="88" t="str">
        <f t="shared" si="43"/>
        <v/>
      </c>
      <c r="E230" s="82" t="str">
        <f t="shared" si="41"/>
        <v/>
      </c>
      <c r="F230" s="82" t="str">
        <f t="shared" si="44"/>
        <v/>
      </c>
      <c r="G230" s="89" t="str">
        <f t="shared" si="42"/>
        <v/>
      </c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</row>
    <row r="231" spans="1:23" s="77" customFormat="1" x14ac:dyDescent="0.4">
      <c r="A231" s="82" t="str">
        <f>IF(B231&lt;&gt;"",COUNTA($B$35:B231),"")</f>
        <v/>
      </c>
      <c r="B231" s="87"/>
      <c r="C231" s="87"/>
      <c r="D231" s="88" t="str">
        <f t="shared" si="43"/>
        <v/>
      </c>
      <c r="E231" s="82" t="str">
        <f t="shared" si="41"/>
        <v/>
      </c>
      <c r="F231" s="82" t="str">
        <f t="shared" si="44"/>
        <v/>
      </c>
      <c r="G231" s="89" t="str">
        <f t="shared" si="42"/>
        <v/>
      </c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</row>
    <row r="232" spans="1:23" s="77" customFormat="1" x14ac:dyDescent="0.4">
      <c r="A232" s="82" t="str">
        <f>IF(B232&lt;&gt;"",COUNTA($B$35:B232),"")</f>
        <v/>
      </c>
      <c r="B232" s="87"/>
      <c r="C232" s="87"/>
      <c r="D232" s="88" t="str">
        <f t="shared" si="43"/>
        <v/>
      </c>
      <c r="E232" s="82" t="str">
        <f t="shared" si="41"/>
        <v/>
      </c>
      <c r="F232" s="82" t="str">
        <f t="shared" si="44"/>
        <v/>
      </c>
      <c r="G232" s="89" t="str">
        <f t="shared" si="42"/>
        <v/>
      </c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</row>
    <row r="233" spans="1:23" s="77" customFormat="1" x14ac:dyDescent="0.4">
      <c r="A233" s="82" t="str">
        <f>IF(B233&lt;&gt;"",COUNTA($B$35:B233),"")</f>
        <v/>
      </c>
      <c r="B233" s="87"/>
      <c r="C233" s="87"/>
      <c r="D233" s="88" t="str">
        <f t="shared" si="43"/>
        <v/>
      </c>
      <c r="E233" s="82" t="str">
        <f t="shared" ref="E233:E234" si="45">IF(ISBLANK(B233),"",IF(OR(I233&lt;18,K233&lt;18,M233&lt;18,O233&lt;18,Q233&lt;18,S233&lt;18,U233&lt;18,W233&lt;18),"FAIL","PASS"))</f>
        <v/>
      </c>
      <c r="F233" s="82" t="str">
        <f t="shared" si="44"/>
        <v/>
      </c>
      <c r="G233" s="89" t="str">
        <f t="shared" si="42"/>
        <v/>
      </c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</row>
    <row r="234" spans="1:23" s="77" customFormat="1" x14ac:dyDescent="0.4">
      <c r="A234" s="82" t="str">
        <f>IF(B234&lt;&gt;"",COUNTA($B$35:B234),"")</f>
        <v/>
      </c>
      <c r="B234" s="87"/>
      <c r="C234" s="87"/>
      <c r="D234" s="88" t="str">
        <f t="shared" si="43"/>
        <v/>
      </c>
      <c r="E234" s="82" t="str">
        <f t="shared" si="45"/>
        <v/>
      </c>
      <c r="F234" s="82" t="str">
        <f t="shared" si="44"/>
        <v/>
      </c>
      <c r="G234" s="89" t="str">
        <f t="shared" si="42"/>
        <v/>
      </c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</row>
    <row r="235" spans="1:23" s="77" customFormat="1" x14ac:dyDescent="0.4">
      <c r="A235" s="82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</row>
    <row r="236" spans="1:23" s="77" customFormat="1" x14ac:dyDescent="0.4">
      <c r="A236" s="82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</row>
    <row r="237" spans="1:23" s="77" customFormat="1" x14ac:dyDescent="0.4">
      <c r="A237" s="82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</row>
    <row r="238" spans="1:23" s="77" customFormat="1" x14ac:dyDescent="0.4">
      <c r="A238" s="82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</row>
    <row r="239" spans="1:23" s="77" customFormat="1" x14ac:dyDescent="0.4">
      <c r="A239" s="82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</row>
    <row r="240" spans="1:23" s="77" customFormat="1" x14ac:dyDescent="0.4">
      <c r="A240" s="82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</row>
    <row r="241" spans="1:23" s="77" customFormat="1" x14ac:dyDescent="0.4">
      <c r="A241" s="82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</row>
    <row r="242" spans="1:23" s="77" customFormat="1" x14ac:dyDescent="0.4">
      <c r="A242" s="82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</row>
    <row r="243" spans="1:23" s="77" customFormat="1" x14ac:dyDescent="0.4">
      <c r="A243" s="82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</row>
    <row r="244" spans="1:23" s="77" customFormat="1" x14ac:dyDescent="0.4">
      <c r="A244" s="82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</row>
    <row r="245" spans="1:23" s="77" customFormat="1" x14ac:dyDescent="0.4">
      <c r="A245" s="82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</row>
    <row r="246" spans="1:23" s="77" customFormat="1" x14ac:dyDescent="0.4">
      <c r="A246" s="82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</row>
    <row r="247" spans="1:23" s="77" customFormat="1" x14ac:dyDescent="0.4">
      <c r="A247" s="82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</row>
    <row r="248" spans="1:23" s="77" customFormat="1" x14ac:dyDescent="0.4">
      <c r="A248" s="82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</row>
    <row r="249" spans="1:23" s="77" customFormat="1" x14ac:dyDescent="0.4">
      <c r="A249" s="82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</row>
    <row r="250" spans="1:23" s="77" customFormat="1" x14ac:dyDescent="0.4">
      <c r="A250" s="82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</row>
  </sheetData>
  <mergeCells count="114">
    <mergeCell ref="A1:W1"/>
    <mergeCell ref="A2:W2"/>
    <mergeCell ref="A3:W3"/>
    <mergeCell ref="A14:C14"/>
    <mergeCell ref="D14:F14"/>
    <mergeCell ref="H14:I14"/>
    <mergeCell ref="J14:K14"/>
    <mergeCell ref="L14:M14"/>
    <mergeCell ref="N14:O14"/>
    <mergeCell ref="P14:Q14"/>
    <mergeCell ref="R14:S14"/>
    <mergeCell ref="T14:U14"/>
    <mergeCell ref="V14:W14"/>
    <mergeCell ref="D15:F15"/>
    <mergeCell ref="H15:I15"/>
    <mergeCell ref="J15:K15"/>
    <mergeCell ref="L15:M15"/>
    <mergeCell ref="N15:O15"/>
    <mergeCell ref="P15:Q15"/>
    <mergeCell ref="R15:S15"/>
    <mergeCell ref="T15:U15"/>
    <mergeCell ref="V15:W15"/>
    <mergeCell ref="D16:F16"/>
    <mergeCell ref="H16:I16"/>
    <mergeCell ref="J16:K16"/>
    <mergeCell ref="L16:M16"/>
    <mergeCell ref="N16:O16"/>
    <mergeCell ref="P16:Q16"/>
    <mergeCell ref="R16:S16"/>
    <mergeCell ref="T16:U16"/>
    <mergeCell ref="V16:W16"/>
    <mergeCell ref="D17:F17"/>
    <mergeCell ref="H17:I17"/>
    <mergeCell ref="J17:K17"/>
    <mergeCell ref="L17:M17"/>
    <mergeCell ref="N17:O17"/>
    <mergeCell ref="P17:Q17"/>
    <mergeCell ref="R17:S17"/>
    <mergeCell ref="T17:U17"/>
    <mergeCell ref="V17:W17"/>
    <mergeCell ref="T20:U20"/>
    <mergeCell ref="D22:F22"/>
    <mergeCell ref="R18:S18"/>
    <mergeCell ref="T18:U18"/>
    <mergeCell ref="V18:W18"/>
    <mergeCell ref="D19:F19"/>
    <mergeCell ref="H19:I19"/>
    <mergeCell ref="J19:K19"/>
    <mergeCell ref="L19:M19"/>
    <mergeCell ref="N19:O19"/>
    <mergeCell ref="P19:Q19"/>
    <mergeCell ref="R19:S19"/>
    <mergeCell ref="D18:F18"/>
    <mergeCell ref="H18:I18"/>
    <mergeCell ref="J18:K18"/>
    <mergeCell ref="L18:M18"/>
    <mergeCell ref="N18:O18"/>
    <mergeCell ref="P18:Q18"/>
    <mergeCell ref="T19:U19"/>
    <mergeCell ref="V19:W19"/>
    <mergeCell ref="T33:U33"/>
    <mergeCell ref="V33:W33"/>
    <mergeCell ref="D23:F23"/>
    <mergeCell ref="D24:F24"/>
    <mergeCell ref="D25:F25"/>
    <mergeCell ref="D26:F26"/>
    <mergeCell ref="H26:I26"/>
    <mergeCell ref="V20:W20"/>
    <mergeCell ref="D21:F21"/>
    <mergeCell ref="H21:I21"/>
    <mergeCell ref="J21:K21"/>
    <mergeCell ref="L21:M21"/>
    <mergeCell ref="N21:O21"/>
    <mergeCell ref="P21:Q21"/>
    <mergeCell ref="R21:S21"/>
    <mergeCell ref="T21:U21"/>
    <mergeCell ref="V21:W21"/>
    <mergeCell ref="D20:F20"/>
    <mergeCell ref="H20:I20"/>
    <mergeCell ref="J20:K20"/>
    <mergeCell ref="L20:M20"/>
    <mergeCell ref="N20:O20"/>
    <mergeCell ref="P20:Q20"/>
    <mergeCell ref="R20:S20"/>
    <mergeCell ref="V26:W26"/>
    <mergeCell ref="D27:F27"/>
    <mergeCell ref="H27:I27"/>
    <mergeCell ref="J27:K27"/>
    <mergeCell ref="L27:M27"/>
    <mergeCell ref="N27:O27"/>
    <mergeCell ref="P27:Q27"/>
    <mergeCell ref="R27:S27"/>
    <mergeCell ref="T27:U27"/>
    <mergeCell ref="V27:W27"/>
    <mergeCell ref="J26:K26"/>
    <mergeCell ref="L26:M26"/>
    <mergeCell ref="N26:O26"/>
    <mergeCell ref="P26:Q26"/>
    <mergeCell ref="R26:S26"/>
    <mergeCell ref="T26:U26"/>
    <mergeCell ref="H33:I33"/>
    <mergeCell ref="J33:K33"/>
    <mergeCell ref="L33:M33"/>
    <mergeCell ref="N33:O33"/>
    <mergeCell ref="P33:Q33"/>
    <mergeCell ref="R33:S33"/>
    <mergeCell ref="D28:F28"/>
    <mergeCell ref="D29:F29"/>
    <mergeCell ref="A33:A34"/>
    <mergeCell ref="B33:B34"/>
    <mergeCell ref="C33:C34"/>
    <mergeCell ref="D33:D34"/>
    <mergeCell ref="E33:E34"/>
    <mergeCell ref="F33:F34"/>
  </mergeCells>
  <conditionalFormatting sqref="H34:W34">
    <cfRule type="containsBlanks" priority="19" stopIfTrue="1">
      <formula>LEN(TRIM(H34))=0</formula>
    </cfRule>
  </conditionalFormatting>
  <conditionalFormatting sqref="D27:F27 D28">
    <cfRule type="cellIs" dxfId="105" priority="17" operator="equal">
      <formula>"YES"</formula>
    </cfRule>
    <cfRule type="cellIs" dxfId="104" priority="18" operator="equal">
      <formula>"NO"</formula>
    </cfRule>
  </conditionalFormatting>
  <conditionalFormatting sqref="H27:I28 L27:M28 P27:Q28 T27:U28">
    <cfRule type="cellIs" dxfId="103" priority="15" operator="equal">
      <formula>"YES"</formula>
    </cfRule>
    <cfRule type="cellIs" dxfId="102" priority="16" operator="equal">
      <formula>"NO"</formula>
    </cfRule>
  </conditionalFormatting>
  <conditionalFormatting sqref="J27:K28 N27:O28 R27:S28 V27:W28">
    <cfRule type="cellIs" dxfId="101" priority="13" operator="equal">
      <formula>"YES"</formula>
    </cfRule>
    <cfRule type="cellIs" dxfId="100" priority="14" operator="equal">
      <formula>"NO"</formula>
    </cfRule>
  </conditionalFormatting>
  <conditionalFormatting sqref="A43:A234 A41">
    <cfRule type="expression" dxfId="99" priority="12">
      <formula>COUNTA($A33:$A234)=0</formula>
    </cfRule>
  </conditionalFormatting>
  <conditionalFormatting sqref="D21:F21">
    <cfRule type="cellIs" dxfId="98" priority="11" operator="greaterThan">
      <formula>0</formula>
    </cfRule>
  </conditionalFormatting>
  <conditionalFormatting sqref="H21:I21">
    <cfRule type="cellIs" dxfId="97" priority="10" operator="greaterThan">
      <formula>0</formula>
    </cfRule>
  </conditionalFormatting>
  <conditionalFormatting sqref="J21:W21">
    <cfRule type="cellIs" dxfId="96" priority="9" operator="greaterThan">
      <formula>0</formula>
    </cfRule>
  </conditionalFormatting>
  <conditionalFormatting sqref="D16:F16">
    <cfRule type="cellIs" dxfId="95" priority="8" operator="greaterThan">
      <formula>0</formula>
    </cfRule>
  </conditionalFormatting>
  <conditionalFormatting sqref="H16:I16">
    <cfRule type="cellIs" dxfId="94" priority="7" operator="greaterThan">
      <formula>0</formula>
    </cfRule>
  </conditionalFormatting>
  <conditionalFormatting sqref="J16:W16">
    <cfRule type="cellIs" dxfId="93" priority="6" operator="greaterThan">
      <formula>0</formula>
    </cfRule>
  </conditionalFormatting>
  <conditionalFormatting sqref="D35:F234">
    <cfRule type="cellIs" dxfId="92" priority="5" operator="equal">
      <formula>"FAIL"</formula>
    </cfRule>
  </conditionalFormatting>
  <conditionalFormatting sqref="F35:F40">
    <cfRule type="cellIs" dxfId="91" priority="4" operator="equal">
      <formula>"FCD"</formula>
    </cfRule>
  </conditionalFormatting>
  <conditionalFormatting sqref="F35:F234">
    <cfRule type="cellIs" dxfId="90" priority="3" operator="equal">
      <formula>"FCD"</formula>
    </cfRule>
  </conditionalFormatting>
  <conditionalFormatting sqref="H91:W234">
    <cfRule type="expression" dxfId="89" priority="2">
      <formula>"A2&lt;$D$28&amp;A2&gt;0"</formula>
    </cfRule>
  </conditionalFormatting>
  <conditionalFormatting sqref="A42">
    <cfRule type="expression" dxfId="88" priority="20">
      <formula>COUNTA($A33:$A235)=0</formula>
    </cfRule>
  </conditionalFormatting>
  <conditionalFormatting sqref="H35:W90">
    <cfRule type="cellIs" dxfId="87" priority="1" operator="lessThan">
      <formula>18</formula>
    </cfRule>
  </conditionalFormatting>
  <printOptions horizontalCentered="1"/>
  <pageMargins left="0" right="0" top="0.59055118110236227" bottom="0" header="0" footer="0"/>
  <pageSetup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0"/>
  <sheetViews>
    <sheetView topLeftCell="A61" zoomScale="80" zoomScaleNormal="80" workbookViewId="0">
      <selection activeCell="C38" sqref="C38"/>
    </sheetView>
  </sheetViews>
  <sheetFormatPr defaultColWidth="9.3046875" defaultRowHeight="14.6" x14ac:dyDescent="0.4"/>
  <cols>
    <col min="1" max="1" width="4" style="1" customWidth="1"/>
    <col min="2" max="2" width="12.3046875" style="1" customWidth="1"/>
    <col min="3" max="3" width="24.765625" style="1" customWidth="1"/>
    <col min="4" max="4" width="7.84375" style="1" customWidth="1"/>
    <col min="5" max="5" width="6.23046875" style="1" customWidth="1"/>
    <col min="6" max="6" width="5.84375" style="1" customWidth="1"/>
    <col min="7" max="7" width="1.3046875" style="1" customWidth="1"/>
    <col min="8" max="8" width="4.765625" style="3" customWidth="1"/>
    <col min="9" max="10" width="4.23046875" style="3" customWidth="1"/>
    <col min="11" max="11" width="4.07421875" style="3" customWidth="1"/>
    <col min="12" max="12" width="4.23046875" style="3" customWidth="1"/>
    <col min="13" max="13" width="4.3046875" style="3" customWidth="1"/>
    <col min="14" max="14" width="5" style="3" customWidth="1"/>
    <col min="15" max="16" width="4.3046875" style="3" customWidth="1"/>
    <col min="17" max="17" width="5.07421875" style="3" customWidth="1"/>
    <col min="18" max="18" width="4.84375" style="3" customWidth="1"/>
    <col min="19" max="19" width="4.4609375" style="3" customWidth="1"/>
    <col min="20" max="20" width="4.53515625" style="3" customWidth="1"/>
    <col min="21" max="21" width="4.23046875" style="3" customWidth="1"/>
    <col min="22" max="22" width="4.4609375" style="3" customWidth="1"/>
    <col min="23" max="23" width="4.07421875" style="3" customWidth="1"/>
    <col min="24" max="24" width="7.4609375" style="1" hidden="1" customWidth="1"/>
    <col min="25" max="16384" width="9.3046875" style="1"/>
  </cols>
  <sheetData>
    <row r="1" spans="1:23" ht="72" customHeight="1" x14ac:dyDescent="0.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</row>
    <row r="2" spans="1:23" ht="25.75" x14ac:dyDescent="0.7">
      <c r="A2" s="143" t="s">
        <v>45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</row>
    <row r="3" spans="1:23" ht="19.75" x14ac:dyDescent="0.45">
      <c r="A3" s="144" t="s">
        <v>172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</row>
    <row r="4" spans="1:23" s="77" customFormat="1" ht="20.6" x14ac:dyDescent="0.5500000000000000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s="15" customFormat="1" ht="15" x14ac:dyDescent="0.35">
      <c r="A5" s="16" t="s">
        <v>1</v>
      </c>
      <c r="B5" s="16" t="s">
        <v>2</v>
      </c>
      <c r="C5" s="17" t="s">
        <v>3</v>
      </c>
      <c r="D5" s="17"/>
      <c r="F5" s="6" t="s">
        <v>4</v>
      </c>
      <c r="G5" s="16"/>
      <c r="H5" s="18"/>
      <c r="I5" s="16"/>
      <c r="J5" s="16"/>
      <c r="K5" s="18"/>
      <c r="L5" s="18"/>
      <c r="M5" s="68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3" s="15" customFormat="1" ht="17.600000000000001" x14ac:dyDescent="0.4">
      <c r="A6" s="68">
        <f>IF(B6&lt;&gt;"",COUNTA($B6:B$6),"")</f>
        <v>1</v>
      </c>
      <c r="B6" s="94" t="s">
        <v>28</v>
      </c>
      <c r="C6" s="95" t="s">
        <v>29</v>
      </c>
      <c r="D6" s="20"/>
      <c r="E6" s="20"/>
      <c r="F6" s="20"/>
      <c r="G6" s="20"/>
      <c r="H6" s="20"/>
      <c r="I6" s="20"/>
      <c r="J6" s="20"/>
      <c r="K6" s="20"/>
      <c r="L6" s="21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1:23" s="15" customFormat="1" ht="17.600000000000001" x14ac:dyDescent="0.4">
      <c r="A7" s="68">
        <f>IF(B7&lt;&gt;"",COUNTA($B$6:B7),"")</f>
        <v>2</v>
      </c>
      <c r="B7" s="94" t="s">
        <v>30</v>
      </c>
      <c r="C7" s="95" t="s">
        <v>31</v>
      </c>
      <c r="D7" s="20"/>
      <c r="E7" s="20"/>
      <c r="F7" s="20"/>
      <c r="G7" s="20"/>
      <c r="H7" s="20"/>
      <c r="I7" s="20"/>
      <c r="J7" s="20"/>
      <c r="K7" s="20"/>
      <c r="L7" s="21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s="15" customFormat="1" ht="17.600000000000001" x14ac:dyDescent="0.4">
      <c r="A8" s="68">
        <f>IF(B8&lt;&gt;"",COUNTA($B$6:B8),"")</f>
        <v>3</v>
      </c>
      <c r="B8" s="94" t="s">
        <v>32</v>
      </c>
      <c r="C8" s="95" t="s">
        <v>33</v>
      </c>
      <c r="D8" s="20"/>
      <c r="E8" s="20"/>
      <c r="F8" s="20"/>
      <c r="G8" s="20"/>
      <c r="H8" s="20"/>
      <c r="I8" s="20"/>
      <c r="J8" s="20"/>
      <c r="K8" s="20"/>
      <c r="L8" s="21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1:23" s="15" customFormat="1" ht="17.600000000000001" x14ac:dyDescent="0.4">
      <c r="A9" s="68">
        <f>IF(B9&lt;&gt;"",COUNTA($B$6:B9),"")</f>
        <v>4</v>
      </c>
      <c r="B9" s="94" t="s">
        <v>34</v>
      </c>
      <c r="C9" s="95" t="s">
        <v>35</v>
      </c>
      <c r="D9" s="20"/>
      <c r="E9" s="20"/>
      <c r="F9" s="20"/>
      <c r="G9" s="20"/>
      <c r="H9" s="20"/>
      <c r="I9" s="20"/>
      <c r="J9" s="20"/>
      <c r="K9" s="20"/>
      <c r="L9" s="21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1:23" s="15" customFormat="1" ht="17.600000000000001" x14ac:dyDescent="0.4">
      <c r="A10" s="68">
        <f>IF(B10&lt;&gt;"",COUNTA($B$6:B10),"")</f>
        <v>5</v>
      </c>
      <c r="B10" s="94" t="s">
        <v>36</v>
      </c>
      <c r="C10" s="95" t="s">
        <v>37</v>
      </c>
      <c r="D10" s="20"/>
      <c r="E10" s="20"/>
      <c r="F10" s="20"/>
      <c r="G10" s="20"/>
      <c r="H10" s="20"/>
      <c r="I10" s="20"/>
      <c r="J10" s="20"/>
      <c r="K10" s="20"/>
      <c r="L10" s="21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s="15" customFormat="1" ht="17.600000000000001" x14ac:dyDescent="0.4">
      <c r="A11" s="68">
        <f>IF(B11&lt;&gt;"",COUNTA($B$6:B11),"")</f>
        <v>6</v>
      </c>
      <c r="B11" s="94" t="s">
        <v>38</v>
      </c>
      <c r="C11" s="95" t="s">
        <v>39</v>
      </c>
      <c r="D11" s="20"/>
      <c r="E11" s="20"/>
      <c r="F11" s="20"/>
      <c r="G11" s="20"/>
      <c r="H11" s="20"/>
      <c r="I11" s="20"/>
      <c r="J11" s="20"/>
      <c r="K11" s="20"/>
      <c r="L11" s="21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s="15" customFormat="1" ht="17.600000000000001" x14ac:dyDescent="0.4">
      <c r="A12" s="68">
        <f>IF(B12&lt;&gt;"",COUNTA($B$6:B12),"")</f>
        <v>7</v>
      </c>
      <c r="B12" s="94" t="s">
        <v>40</v>
      </c>
      <c r="C12" s="95" t="s">
        <v>41</v>
      </c>
      <c r="D12" s="20"/>
      <c r="E12" s="20"/>
      <c r="F12" s="20"/>
      <c r="G12" s="20"/>
      <c r="H12" s="20"/>
      <c r="I12" s="20"/>
      <c r="J12" s="20"/>
      <c r="K12" s="20"/>
      <c r="L12" s="21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s="15" customFormat="1" ht="15" x14ac:dyDescent="0.35">
      <c r="A13" s="68">
        <f>IF(B13&lt;&gt;"",COUNTA($B$6:B13),"")</f>
        <v>8</v>
      </c>
      <c r="B13" s="94" t="s">
        <v>42</v>
      </c>
      <c r="C13" s="95" t="s">
        <v>43</v>
      </c>
      <c r="D13" s="20"/>
      <c r="E13" s="20"/>
      <c r="F13" s="22"/>
      <c r="G13" s="20"/>
      <c r="H13" s="23"/>
      <c r="I13" s="20"/>
      <c r="J13" s="20"/>
      <c r="K13" s="20"/>
      <c r="L13" s="24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s="25" customFormat="1" ht="18.649999999999999" customHeight="1" x14ac:dyDescent="0.4">
      <c r="A14" s="145" t="s">
        <v>5</v>
      </c>
      <c r="B14" s="145"/>
      <c r="C14" s="145"/>
      <c r="D14" s="146" t="s">
        <v>6</v>
      </c>
      <c r="E14" s="146"/>
      <c r="F14" s="146"/>
      <c r="G14" s="12"/>
      <c r="H14" s="147" t="str">
        <f>IF(B6=0,"",B6)</f>
        <v>BMATE101</v>
      </c>
      <c r="I14" s="147"/>
      <c r="J14" s="147" t="str">
        <f>IF(B7=0,"",B7)</f>
        <v>BPHYE102</v>
      </c>
      <c r="K14" s="147"/>
      <c r="L14" s="147" t="str">
        <f>IF(B8=0,"",B8)</f>
        <v>BBEE103</v>
      </c>
      <c r="M14" s="147"/>
      <c r="N14" s="147" t="str">
        <f>IF(B9=0,"",B9)</f>
        <v>BENGK106</v>
      </c>
      <c r="O14" s="147"/>
      <c r="P14" s="147" t="str">
        <f>IF(B10=0,"",B10)</f>
        <v>BKSKK107</v>
      </c>
      <c r="Q14" s="147"/>
      <c r="R14" s="147" t="str">
        <f>IF(B11=0,"",B11)</f>
        <v>BIDTK158</v>
      </c>
      <c r="S14" s="147"/>
      <c r="T14" s="147" t="str">
        <f>IF(B12=0,"",B12)</f>
        <v>BESCK104E</v>
      </c>
      <c r="U14" s="147"/>
      <c r="V14" s="147" t="str">
        <f>IF(B13=0,"",B13)</f>
        <v>BETCK105H</v>
      </c>
      <c r="W14" s="147"/>
    </row>
    <row r="15" spans="1:23" s="15" customFormat="1" ht="14.15" x14ac:dyDescent="0.35">
      <c r="A15" s="78" t="s">
        <v>7</v>
      </c>
      <c r="B15" s="78"/>
      <c r="C15" s="78"/>
      <c r="D15" s="140">
        <f>(D16/D17)*100</f>
        <v>10.714285714285714</v>
      </c>
      <c r="E15" s="140"/>
      <c r="F15" s="140"/>
      <c r="G15" s="26"/>
      <c r="H15" s="141" t="str">
        <f>IFERROR((H16/H17)*100,"")</f>
        <v/>
      </c>
      <c r="I15" s="141"/>
      <c r="J15" s="141" t="str">
        <f>IFERROR((J16/J17)*100,"")</f>
        <v/>
      </c>
      <c r="K15" s="141"/>
      <c r="L15" s="141" t="str">
        <f>IFERROR((L16/L17)*100,"")</f>
        <v/>
      </c>
      <c r="M15" s="141"/>
      <c r="N15" s="141" t="str">
        <f>IFERROR((N16/N17)*100,"")</f>
        <v/>
      </c>
      <c r="O15" s="141"/>
      <c r="P15" s="141" t="str">
        <f>IFERROR((P16/P17)*100,"")</f>
        <v/>
      </c>
      <c r="Q15" s="141"/>
      <c r="R15" s="141" t="str">
        <f>IFERROR((R16/R17)*100,"")</f>
        <v/>
      </c>
      <c r="S15" s="141"/>
      <c r="T15" s="141" t="str">
        <f>IFERROR((T16/T17)*100,"")</f>
        <v/>
      </c>
      <c r="U15" s="141"/>
      <c r="V15" s="141" t="str">
        <f>IFERROR((V16/V17)*100, "")</f>
        <v/>
      </c>
      <c r="W15" s="141"/>
    </row>
    <row r="16" spans="1:23" s="15" customFormat="1" ht="14.15" x14ac:dyDescent="0.35">
      <c r="A16" s="79" t="s">
        <v>8</v>
      </c>
      <c r="B16" s="79"/>
      <c r="C16" s="79"/>
      <c r="D16" s="132">
        <f>COUNTIF(E35:E234,"PASS")</f>
        <v>6</v>
      </c>
      <c r="E16" s="132"/>
      <c r="F16" s="132"/>
      <c r="G16" s="8"/>
      <c r="H16" s="137">
        <f>COUNTIF(I35:I234,"&gt;=18")</f>
        <v>0</v>
      </c>
      <c r="I16" s="137"/>
      <c r="J16" s="137">
        <f>COUNTIF(K35:K234,"&gt;=18")</f>
        <v>0</v>
      </c>
      <c r="K16" s="137"/>
      <c r="L16" s="137">
        <f>COUNTIF(M35:M234,"&gt;=18")</f>
        <v>0</v>
      </c>
      <c r="M16" s="137"/>
      <c r="N16" s="137">
        <f>COUNTIF(O35:O234,"&gt;=18")</f>
        <v>0</v>
      </c>
      <c r="O16" s="137"/>
      <c r="P16" s="137">
        <f>COUNTIF(Q35:Q234,"&gt;=18")</f>
        <v>0</v>
      </c>
      <c r="Q16" s="137"/>
      <c r="R16" s="137">
        <f>COUNTIF(S35:S234,"&gt;=18")</f>
        <v>0</v>
      </c>
      <c r="S16" s="137"/>
      <c r="T16" s="137">
        <f>COUNTIF(U35:U234,"&gt;=18")</f>
        <v>0</v>
      </c>
      <c r="U16" s="137"/>
      <c r="V16" s="137">
        <f>COUNTIF(W35:W234,"&gt;=18")</f>
        <v>0</v>
      </c>
      <c r="W16" s="137"/>
    </row>
    <row r="17" spans="1:23" s="15" customFormat="1" ht="14.15" x14ac:dyDescent="0.35">
      <c r="A17" s="79" t="s">
        <v>9</v>
      </c>
      <c r="B17" s="79"/>
      <c r="C17" s="79"/>
      <c r="D17" s="132">
        <f>COUNT(D35:D234)</f>
        <v>56</v>
      </c>
      <c r="E17" s="132"/>
      <c r="F17" s="132"/>
      <c r="G17" s="8"/>
      <c r="H17" s="137">
        <f>COUNT(I35:I234)</f>
        <v>0</v>
      </c>
      <c r="I17" s="137"/>
      <c r="J17" s="137">
        <f>COUNT(K35:K234)</f>
        <v>0</v>
      </c>
      <c r="K17" s="137"/>
      <c r="L17" s="137">
        <f>COUNT(M35:M234)</f>
        <v>0</v>
      </c>
      <c r="M17" s="137"/>
      <c r="N17" s="137">
        <f>COUNT(O35:O234)</f>
        <v>0</v>
      </c>
      <c r="O17" s="137"/>
      <c r="P17" s="137">
        <f>COUNT(Q35:Q234)</f>
        <v>0</v>
      </c>
      <c r="Q17" s="137"/>
      <c r="R17" s="137">
        <f>COUNT(S35:S234)</f>
        <v>0</v>
      </c>
      <c r="S17" s="137"/>
      <c r="T17" s="137">
        <f>COUNT(U35:U234)</f>
        <v>0</v>
      </c>
      <c r="U17" s="137"/>
      <c r="V17" s="137">
        <f>COUNT(W35:W234)</f>
        <v>0</v>
      </c>
      <c r="W17" s="137"/>
    </row>
    <row r="18" spans="1:23" s="15" customFormat="1" ht="14.15" x14ac:dyDescent="0.35">
      <c r="A18" s="79" t="s">
        <v>10</v>
      </c>
      <c r="B18" s="79"/>
      <c r="C18" s="79"/>
      <c r="D18" s="132">
        <f>COUNTIF(F35:F234,"FCD")</f>
        <v>0</v>
      </c>
      <c r="E18" s="132"/>
      <c r="F18" s="132"/>
      <c r="G18" s="8"/>
      <c r="H18" s="137">
        <f>SUMPRODUCT(--(H35:H234 + I35:I234 &gt;= 70))</f>
        <v>0</v>
      </c>
      <c r="I18" s="137"/>
      <c r="J18" s="137">
        <f t="shared" ref="J18" si="0">SUMPRODUCT(--(J35:J234 + K35:K234 &gt;= 70))</f>
        <v>0</v>
      </c>
      <c r="K18" s="137"/>
      <c r="L18" s="137">
        <f t="shared" ref="L18" si="1">SUMPRODUCT(--(L35:L234 + M35:M234 &gt;= 70))</f>
        <v>0</v>
      </c>
      <c r="M18" s="137"/>
      <c r="N18" s="137">
        <f t="shared" ref="N18" si="2">SUMPRODUCT(--(N35:N234 + O35:O234 &gt;= 70))</f>
        <v>0</v>
      </c>
      <c r="O18" s="137"/>
      <c r="P18" s="137">
        <f t="shared" ref="P18" si="3">SUMPRODUCT(--(P35:P234 + Q35:Q234 &gt;= 70))</f>
        <v>0</v>
      </c>
      <c r="Q18" s="137"/>
      <c r="R18" s="137">
        <f t="shared" ref="R18" si="4">SUMPRODUCT(--(R35:R234 + S35:S234 &gt;= 70))</f>
        <v>0</v>
      </c>
      <c r="S18" s="137"/>
      <c r="T18" s="137">
        <f t="shared" ref="T18" si="5">SUMPRODUCT(--(T35:T234 + U35:U234 &gt;= 70))</f>
        <v>0</v>
      </c>
      <c r="U18" s="137"/>
      <c r="V18" s="137">
        <f t="shared" ref="V18" si="6">SUMPRODUCT(--(V35:V234 + W35:W234 &gt;= 70))</f>
        <v>0</v>
      </c>
      <c r="W18" s="137"/>
    </row>
    <row r="19" spans="1:23" s="15" customFormat="1" ht="14.15" x14ac:dyDescent="0.35">
      <c r="A19" s="79" t="s">
        <v>11</v>
      </c>
      <c r="B19" s="79"/>
      <c r="C19" s="79"/>
      <c r="D19" s="132">
        <f>COUNTIF(F35:F234,"FC")</f>
        <v>0</v>
      </c>
      <c r="E19" s="132"/>
      <c r="F19" s="132"/>
      <c r="G19" s="8"/>
      <c r="H19" s="137">
        <f>SUMPRODUCT(--((H35:H234 + I35:I234) &gt;=60), --((H35:H234 + I35:I234) &lt; 70))</f>
        <v>0</v>
      </c>
      <c r="I19" s="137"/>
      <c r="J19" s="137">
        <f t="shared" ref="J19" si="7">SUMPRODUCT(--((J35:J234 + K35:K234) &gt;=60), --((J35:J234 + K35:K234) &lt; 70))</f>
        <v>0</v>
      </c>
      <c r="K19" s="137"/>
      <c r="L19" s="137">
        <f t="shared" ref="L19" si="8">SUMPRODUCT(--((L35:L234 + M35:M234) &gt;=60), --((L35:L234 + M35:M234) &lt; 70))</f>
        <v>0</v>
      </c>
      <c r="M19" s="137"/>
      <c r="N19" s="137">
        <f t="shared" ref="N19" si="9">SUMPRODUCT(--((N35:N234 + O35:O234) &gt;=60), --((N35:N234 + O35:O234) &lt; 70))</f>
        <v>0</v>
      </c>
      <c r="O19" s="137"/>
      <c r="P19" s="137">
        <f t="shared" ref="P19" si="10">SUMPRODUCT(--((P35:P234 + Q35:Q234) &gt;=60), --((P35:P234 + Q35:Q234) &lt; 70))</f>
        <v>0</v>
      </c>
      <c r="Q19" s="137"/>
      <c r="R19" s="137">
        <f t="shared" ref="R19" si="11">SUMPRODUCT(--((R35:R234 + S35:S234) &gt;=60), --((R35:R234 + S35:S234) &lt; 70))</f>
        <v>0</v>
      </c>
      <c r="S19" s="137"/>
      <c r="T19" s="137">
        <f t="shared" ref="T19" si="12">SUMPRODUCT(--((T35:T234 + U35:U234) &gt;=60), --((T35:T234 + U35:U234) &lt; 70))</f>
        <v>0</v>
      </c>
      <c r="U19" s="137"/>
      <c r="V19" s="137">
        <f t="shared" ref="V19" si="13">SUMPRODUCT(--((V35:V234 + W35:W234) &gt;=60), --((V35:V234 + W35:W234) &lt; 70))</f>
        <v>0</v>
      </c>
      <c r="W19" s="137"/>
    </row>
    <row r="20" spans="1:23" s="15" customFormat="1" ht="14.15" x14ac:dyDescent="0.35">
      <c r="A20" s="79" t="s">
        <v>12</v>
      </c>
      <c r="B20" s="79"/>
      <c r="C20" s="79"/>
      <c r="D20" s="132">
        <f>COUNTIF(F35:F234,"SC")</f>
        <v>0</v>
      </c>
      <c r="E20" s="132"/>
      <c r="F20" s="132"/>
      <c r="G20" s="8"/>
      <c r="H20" s="137">
        <f>SUMPRODUCT(--((H35:H234 + I35:I234) &gt; 0), --((H35:H234 + I35:I234) &lt; 60))</f>
        <v>0</v>
      </c>
      <c r="I20" s="137"/>
      <c r="J20" s="137">
        <f t="shared" ref="J20" si="14">SUMPRODUCT(--((J35:J234 + K35:K234) &gt; 0), --((J35:J234 + K35:K234) &lt; 60))</f>
        <v>0</v>
      </c>
      <c r="K20" s="137"/>
      <c r="L20" s="137">
        <f t="shared" ref="L20" si="15">SUMPRODUCT(--((L35:L234 + M35:M234) &gt; 0), --((L35:L234 + M35:M234) &lt; 60))</f>
        <v>0</v>
      </c>
      <c r="M20" s="137"/>
      <c r="N20" s="137">
        <f t="shared" ref="N20" si="16">SUMPRODUCT(--((N35:N234 + O35:O234) &gt; 0), --((N35:N234 + O35:O234) &lt; 60))</f>
        <v>0</v>
      </c>
      <c r="O20" s="137"/>
      <c r="P20" s="137">
        <f t="shared" ref="P20" si="17">SUMPRODUCT(--((P35:P234 + Q35:Q234) &gt; 0), --((P35:P234 + Q35:Q234) &lt; 60))</f>
        <v>0</v>
      </c>
      <c r="Q20" s="137"/>
      <c r="R20" s="137">
        <f t="shared" ref="R20" si="18">SUMPRODUCT(--((R35:R234 + S35:S234) &gt; 0), --((R35:R234 + S35:S234) &lt; 60))</f>
        <v>0</v>
      </c>
      <c r="S20" s="137"/>
      <c r="T20" s="137">
        <f t="shared" ref="T20" si="19">SUMPRODUCT(--((T35:T234 + U35:U234) &gt; 0), --((T35:T234 + U35:U234) &lt; 60))</f>
        <v>0</v>
      </c>
      <c r="U20" s="137"/>
      <c r="V20" s="137">
        <f t="shared" ref="V20" si="20">SUMPRODUCT(--((V35:V234 + W35:W234) &gt; 0), --((V35:V234 + W35:W234) &lt; 60))</f>
        <v>0</v>
      </c>
      <c r="W20" s="137"/>
    </row>
    <row r="21" spans="1:23" s="15" customFormat="1" ht="14.15" x14ac:dyDescent="0.35">
      <c r="A21" s="84" t="s">
        <v>13</v>
      </c>
      <c r="B21" s="84"/>
      <c r="C21" s="84"/>
      <c r="D21" s="132">
        <f>COUNTIF(E35:E234,"FAIL")</f>
        <v>50</v>
      </c>
      <c r="E21" s="132"/>
      <c r="F21" s="132"/>
      <c r="G21" s="8"/>
      <c r="H21" s="138">
        <f>COUNTIF(I35:I234,"&lt;18")</f>
        <v>0</v>
      </c>
      <c r="I21" s="139"/>
      <c r="J21" s="138">
        <f>COUNTIF(K35:K234,"&lt;18")</f>
        <v>0</v>
      </c>
      <c r="K21" s="139"/>
      <c r="L21" s="138">
        <f>COUNTIF(M35:M234,"&lt;18")</f>
        <v>0</v>
      </c>
      <c r="M21" s="139"/>
      <c r="N21" s="138">
        <f>COUNTIF(O35:O234,"&lt;18")</f>
        <v>0</v>
      </c>
      <c r="O21" s="139"/>
      <c r="P21" s="138">
        <f>COUNTIF(Q35:Q234,"&lt;18")</f>
        <v>0</v>
      </c>
      <c r="Q21" s="139"/>
      <c r="R21" s="138">
        <f>COUNTIF(S35:S234,"&lt;18")</f>
        <v>0</v>
      </c>
      <c r="S21" s="139"/>
      <c r="T21" s="138">
        <f>COUNTIF(U35:U234,"&lt;18")</f>
        <v>0</v>
      </c>
      <c r="U21" s="139"/>
      <c r="V21" s="138">
        <f>COUNTIF(W35:W234,"&lt;18")</f>
        <v>0</v>
      </c>
      <c r="W21" s="139"/>
    </row>
    <row r="22" spans="1:23" s="15" customFormat="1" ht="14.15" x14ac:dyDescent="0.35">
      <c r="A22" s="80" t="s">
        <v>14</v>
      </c>
      <c r="B22" s="85"/>
      <c r="C22" s="86"/>
      <c r="D22" s="133">
        <f>MAX(D35:D234)</f>
        <v>0</v>
      </c>
      <c r="E22" s="134"/>
      <c r="F22" s="134"/>
      <c r="G22" s="8"/>
      <c r="H22" s="91">
        <f>MAX(H35:H234)</f>
        <v>0</v>
      </c>
      <c r="I22" s="91">
        <f>MAX(I35:I234)</f>
        <v>0</v>
      </c>
      <c r="J22" s="91">
        <f t="shared" ref="J22:W22" si="21">MAX(J35:J234)</f>
        <v>0</v>
      </c>
      <c r="K22" s="91">
        <f t="shared" si="21"/>
        <v>0</v>
      </c>
      <c r="L22" s="91">
        <f t="shared" si="21"/>
        <v>0</v>
      </c>
      <c r="M22" s="91">
        <f t="shared" si="21"/>
        <v>0</v>
      </c>
      <c r="N22" s="91">
        <f t="shared" si="21"/>
        <v>0</v>
      </c>
      <c r="O22" s="91">
        <f t="shared" si="21"/>
        <v>0</v>
      </c>
      <c r="P22" s="91">
        <f t="shared" si="21"/>
        <v>0</v>
      </c>
      <c r="Q22" s="91">
        <f t="shared" si="21"/>
        <v>0</v>
      </c>
      <c r="R22" s="91">
        <f t="shared" si="21"/>
        <v>0</v>
      </c>
      <c r="S22" s="91">
        <f t="shared" si="21"/>
        <v>0</v>
      </c>
      <c r="T22" s="91">
        <f t="shared" si="21"/>
        <v>0</v>
      </c>
      <c r="U22" s="91">
        <f t="shared" si="21"/>
        <v>0</v>
      </c>
      <c r="V22" s="91">
        <f t="shared" si="21"/>
        <v>0</v>
      </c>
      <c r="W22" s="91">
        <f t="shared" si="21"/>
        <v>0</v>
      </c>
    </row>
    <row r="23" spans="1:23" s="15" customFormat="1" ht="14.15" x14ac:dyDescent="0.35">
      <c r="A23" s="80" t="s">
        <v>15</v>
      </c>
      <c r="B23" s="85"/>
      <c r="C23" s="86"/>
      <c r="D23" s="133">
        <f>MIN(D35:D234)</f>
        <v>0</v>
      </c>
      <c r="E23" s="134"/>
      <c r="F23" s="134"/>
      <c r="G23" s="8"/>
      <c r="H23" s="91">
        <f>MIN(H35:H234)</f>
        <v>0</v>
      </c>
      <c r="I23" s="91">
        <f t="shared" ref="I23:W23" si="22">MIN(I35:I234)</f>
        <v>0</v>
      </c>
      <c r="J23" s="91">
        <f t="shared" si="22"/>
        <v>0</v>
      </c>
      <c r="K23" s="91">
        <f t="shared" si="22"/>
        <v>0</v>
      </c>
      <c r="L23" s="91">
        <f t="shared" si="22"/>
        <v>0</v>
      </c>
      <c r="M23" s="91">
        <f t="shared" si="22"/>
        <v>0</v>
      </c>
      <c r="N23" s="91">
        <f t="shared" si="22"/>
        <v>0</v>
      </c>
      <c r="O23" s="91">
        <f t="shared" si="22"/>
        <v>0</v>
      </c>
      <c r="P23" s="91">
        <f t="shared" si="22"/>
        <v>0</v>
      </c>
      <c r="Q23" s="91">
        <f t="shared" si="22"/>
        <v>0</v>
      </c>
      <c r="R23" s="91">
        <f t="shared" si="22"/>
        <v>0</v>
      </c>
      <c r="S23" s="91">
        <f t="shared" si="22"/>
        <v>0</v>
      </c>
      <c r="T23" s="91">
        <f t="shared" si="22"/>
        <v>0</v>
      </c>
      <c r="U23" s="91">
        <f t="shared" si="22"/>
        <v>0</v>
      </c>
      <c r="V23" s="91">
        <f t="shared" si="22"/>
        <v>0</v>
      </c>
      <c r="W23" s="91">
        <f t="shared" si="22"/>
        <v>0</v>
      </c>
    </row>
    <row r="24" spans="1:23" s="15" customFormat="1" ht="14.15" x14ac:dyDescent="0.35">
      <c r="A24" s="80" t="s">
        <v>16</v>
      </c>
      <c r="B24" s="85"/>
      <c r="C24" s="86"/>
      <c r="D24" s="133">
        <f>MEDIAN(D35:D234)</f>
        <v>0</v>
      </c>
      <c r="E24" s="134"/>
      <c r="F24" s="134"/>
      <c r="G24" s="8"/>
      <c r="H24" s="91" t="str">
        <f t="shared" ref="H24:U24" si="23">IFERROR(MEDIAN(H35:H234),"")</f>
        <v/>
      </c>
      <c r="I24" s="91" t="str">
        <f t="shared" si="23"/>
        <v/>
      </c>
      <c r="J24" s="91" t="str">
        <f t="shared" si="23"/>
        <v/>
      </c>
      <c r="K24" s="91" t="str">
        <f t="shared" si="23"/>
        <v/>
      </c>
      <c r="L24" s="91" t="str">
        <f t="shared" si="23"/>
        <v/>
      </c>
      <c r="M24" s="91" t="str">
        <f t="shared" si="23"/>
        <v/>
      </c>
      <c r="N24" s="91" t="str">
        <f t="shared" si="23"/>
        <v/>
      </c>
      <c r="O24" s="91" t="str">
        <f t="shared" si="23"/>
        <v/>
      </c>
      <c r="P24" s="91" t="str">
        <f t="shared" si="23"/>
        <v/>
      </c>
      <c r="Q24" s="91" t="str">
        <f t="shared" si="23"/>
        <v/>
      </c>
      <c r="R24" s="91" t="str">
        <f t="shared" si="23"/>
        <v/>
      </c>
      <c r="S24" s="91" t="str">
        <f t="shared" si="23"/>
        <v/>
      </c>
      <c r="T24" s="91" t="str">
        <f t="shared" si="23"/>
        <v/>
      </c>
      <c r="U24" s="91" t="str">
        <f t="shared" si="23"/>
        <v/>
      </c>
      <c r="V24" s="91" t="str">
        <f>IFERROR(MEDIAN(V35:V234), "")</f>
        <v/>
      </c>
      <c r="W24" s="91" t="str">
        <f>IFERROR(MEDIAN(W35:W234),"")</f>
        <v/>
      </c>
    </row>
    <row r="25" spans="1:23" s="15" customFormat="1" ht="14.15" x14ac:dyDescent="0.35">
      <c r="A25" s="80" t="s">
        <v>17</v>
      </c>
      <c r="B25" s="85"/>
      <c r="C25" s="86"/>
      <c r="D25" s="133">
        <f>AVERAGE(D35:D234)</f>
        <v>0</v>
      </c>
      <c r="E25" s="134"/>
      <c r="F25" s="134"/>
      <c r="G25" s="8"/>
      <c r="H25" s="91" t="str">
        <f t="shared" ref="H25:W25" si="24">IFERROR(AVERAGE(H35:H234),"")</f>
        <v/>
      </c>
      <c r="I25" s="91" t="str">
        <f t="shared" si="24"/>
        <v/>
      </c>
      <c r="J25" s="91" t="str">
        <f t="shared" si="24"/>
        <v/>
      </c>
      <c r="K25" s="91" t="str">
        <f t="shared" si="24"/>
        <v/>
      </c>
      <c r="L25" s="91" t="str">
        <f t="shared" si="24"/>
        <v/>
      </c>
      <c r="M25" s="91" t="str">
        <f t="shared" si="24"/>
        <v/>
      </c>
      <c r="N25" s="91" t="str">
        <f t="shared" si="24"/>
        <v/>
      </c>
      <c r="O25" s="91" t="str">
        <f t="shared" si="24"/>
        <v/>
      </c>
      <c r="P25" s="91" t="str">
        <f t="shared" si="24"/>
        <v/>
      </c>
      <c r="Q25" s="91" t="str">
        <f t="shared" si="24"/>
        <v/>
      </c>
      <c r="R25" s="91" t="str">
        <f t="shared" si="24"/>
        <v/>
      </c>
      <c r="S25" s="91" t="str">
        <f t="shared" si="24"/>
        <v/>
      </c>
      <c r="T25" s="91" t="str">
        <f t="shared" si="24"/>
        <v/>
      </c>
      <c r="U25" s="91" t="str">
        <f t="shared" si="24"/>
        <v/>
      </c>
      <c r="V25" s="91" t="str">
        <f t="shared" si="24"/>
        <v/>
      </c>
      <c r="W25" s="91" t="str">
        <f t="shared" si="24"/>
        <v/>
      </c>
    </row>
    <row r="26" spans="1:23" s="15" customFormat="1" ht="14.15" x14ac:dyDescent="0.35">
      <c r="A26" s="80" t="s">
        <v>18</v>
      </c>
      <c r="B26" s="85"/>
      <c r="C26" s="86"/>
      <c r="D26" s="135">
        <v>85</v>
      </c>
      <c r="E26" s="136"/>
      <c r="F26" s="136"/>
      <c r="G26" s="8"/>
      <c r="H26" s="131">
        <v>85</v>
      </c>
      <c r="I26" s="131"/>
      <c r="J26" s="131">
        <v>85</v>
      </c>
      <c r="K26" s="131"/>
      <c r="L26" s="131">
        <v>85</v>
      </c>
      <c r="M26" s="131"/>
      <c r="N26" s="131">
        <v>85</v>
      </c>
      <c r="O26" s="131"/>
      <c r="P26" s="131">
        <v>85</v>
      </c>
      <c r="Q26" s="131"/>
      <c r="R26" s="131">
        <v>85</v>
      </c>
      <c r="S26" s="131"/>
      <c r="T26" s="131">
        <v>85</v>
      </c>
      <c r="U26" s="131"/>
      <c r="V26" s="131">
        <v>85</v>
      </c>
      <c r="W26" s="131"/>
    </row>
    <row r="27" spans="1:23" s="15" customFormat="1" ht="14.15" x14ac:dyDescent="0.35">
      <c r="A27" s="80" t="s">
        <v>19</v>
      </c>
      <c r="B27" s="79"/>
      <c r="C27" s="79"/>
      <c r="D27" s="132" t="str">
        <f>IF(D15&gt;=D26, "YES","NO")</f>
        <v>NO</v>
      </c>
      <c r="E27" s="132"/>
      <c r="F27" s="132"/>
      <c r="G27" s="27"/>
      <c r="H27" s="132" t="str">
        <f>IF(H15&gt;=H26,"YES","NO")</f>
        <v>YES</v>
      </c>
      <c r="I27" s="132"/>
      <c r="J27" s="132" t="str">
        <f>IF(J15&gt;=J26,"YES","NO")</f>
        <v>YES</v>
      </c>
      <c r="K27" s="132"/>
      <c r="L27" s="132" t="str">
        <f t="shared" ref="L27" si="25">IF(L15&gt;=L26,"YES","NO")</f>
        <v>YES</v>
      </c>
      <c r="M27" s="132"/>
      <c r="N27" s="132" t="str">
        <f t="shared" ref="N27" si="26">IF(N15&gt;=N26,"YES","NO")</f>
        <v>YES</v>
      </c>
      <c r="O27" s="132"/>
      <c r="P27" s="132" t="str">
        <f t="shared" ref="P27" si="27">IF(P15&gt;=P26,"YES","NO")</f>
        <v>YES</v>
      </c>
      <c r="Q27" s="132"/>
      <c r="R27" s="132" t="str">
        <f t="shared" ref="R27" si="28">IF(R15&gt;=R26,"YES","NO")</f>
        <v>YES</v>
      </c>
      <c r="S27" s="132"/>
      <c r="T27" s="132" t="str">
        <f>IF(T15="","",IF(T15&gt;=T26,"YES","NO"))</f>
        <v/>
      </c>
      <c r="U27" s="132"/>
      <c r="V27" s="132" t="str">
        <f>IF(V15="","",IF(V15&gt;=V26,"YES","NO"))</f>
        <v/>
      </c>
      <c r="W27" s="132"/>
    </row>
    <row r="28" spans="1:23" s="15" customFormat="1" ht="14.15" x14ac:dyDescent="0.35">
      <c r="A28" s="81" t="s">
        <v>26</v>
      </c>
      <c r="B28" s="79"/>
      <c r="C28" s="79"/>
      <c r="D28" s="119">
        <v>18</v>
      </c>
      <c r="E28" s="120"/>
      <c r="F28" s="121"/>
      <c r="G28" s="7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 spans="1:23" s="15" customFormat="1" ht="14.15" x14ac:dyDescent="0.35">
      <c r="A29" s="7" t="s">
        <v>27</v>
      </c>
      <c r="B29" s="8"/>
      <c r="C29" s="8"/>
      <c r="D29" s="119">
        <v>800</v>
      </c>
      <c r="E29" s="120"/>
      <c r="F29" s="121"/>
      <c r="G29" s="7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s="15" customFormat="1" ht="14.15" x14ac:dyDescent="0.35">
      <c r="A30" s="7"/>
      <c r="B30" s="7"/>
      <c r="C30" s="7"/>
      <c r="D30" s="36"/>
      <c r="E30" s="36"/>
      <c r="F30" s="36"/>
      <c r="G30" s="7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s="15" customFormat="1" ht="14.15" x14ac:dyDescent="0.35">
      <c r="A31" s="7"/>
      <c r="B31" s="7"/>
      <c r="C31" s="7"/>
      <c r="F31" s="7"/>
      <c r="G31" s="7"/>
      <c r="H31" s="29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28" t="s">
        <v>20</v>
      </c>
      <c r="V31" s="18"/>
      <c r="W31" s="18"/>
    </row>
    <row r="32" spans="1:23" s="15" customFormat="1" ht="14.15" x14ac:dyDescent="0.35">
      <c r="A32" s="7"/>
      <c r="B32" s="7"/>
      <c r="C32" s="7"/>
      <c r="D32" s="7"/>
      <c r="E32" s="7"/>
      <c r="F32" s="7"/>
      <c r="G32" s="7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V32" s="18"/>
      <c r="W32" s="18"/>
    </row>
    <row r="33" spans="1:23" s="30" customFormat="1" ht="14.15" x14ac:dyDescent="0.35">
      <c r="A33" s="122" t="s">
        <v>1</v>
      </c>
      <c r="B33" s="123" t="s">
        <v>22</v>
      </c>
      <c r="C33" s="125" t="s">
        <v>23</v>
      </c>
      <c r="D33" s="127" t="s">
        <v>24</v>
      </c>
      <c r="E33" s="129" t="s">
        <v>21</v>
      </c>
      <c r="F33" s="130" t="s">
        <v>25</v>
      </c>
      <c r="G33" s="93"/>
      <c r="H33" s="118" t="str">
        <f>IF(B6=0,"",B6)</f>
        <v>BMATE101</v>
      </c>
      <c r="I33" s="118"/>
      <c r="J33" s="118" t="str">
        <f>IF(B7=0,"",B7)</f>
        <v>BPHYE102</v>
      </c>
      <c r="K33" s="118"/>
      <c r="L33" s="118" t="str">
        <f>IF(B8=0,"",B8)</f>
        <v>BBEE103</v>
      </c>
      <c r="M33" s="118"/>
      <c r="N33" s="118" t="str">
        <f>IF(B9=0,"",B9)</f>
        <v>BENGK106</v>
      </c>
      <c r="O33" s="118"/>
      <c r="P33" s="118" t="str">
        <f>IF(B10=0,"",B10)</f>
        <v>BKSKK107</v>
      </c>
      <c r="Q33" s="118"/>
      <c r="R33" s="118" t="str">
        <f>IF(B11=0,"",B11)</f>
        <v>BIDTK158</v>
      </c>
      <c r="S33" s="118"/>
      <c r="T33" s="118" t="str">
        <f>IF(B12=0,"",B12)</f>
        <v>BESCK104E</v>
      </c>
      <c r="U33" s="118"/>
      <c r="V33" s="118" t="str">
        <f>IF(B13=0,"",B13)</f>
        <v>BETCK105H</v>
      </c>
      <c r="W33" s="118"/>
    </row>
    <row r="34" spans="1:23" s="30" customFormat="1" ht="14.15" x14ac:dyDescent="0.35">
      <c r="A34" s="122"/>
      <c r="B34" s="124"/>
      <c r="C34" s="126"/>
      <c r="D34" s="128"/>
      <c r="E34" s="129"/>
      <c r="F34" s="130"/>
      <c r="G34" s="93"/>
      <c r="H34" s="31" t="str">
        <f>IF(B6=0,"","CIE")</f>
        <v>CIE</v>
      </c>
      <c r="I34" s="31" t="str">
        <f>IF(B6=0,"","SEE")</f>
        <v>SEE</v>
      </c>
      <c r="J34" s="31" t="str">
        <f>IF(B7=0,"","CIE")</f>
        <v>CIE</v>
      </c>
      <c r="K34" s="31" t="str">
        <f>IF(B7=0,"","SEE")</f>
        <v>SEE</v>
      </c>
      <c r="L34" s="31" t="str">
        <f>IF(B8=0,"","CIE")</f>
        <v>CIE</v>
      </c>
      <c r="M34" s="31" t="str">
        <f>IF(B8=0,"","SEE")</f>
        <v>SEE</v>
      </c>
      <c r="N34" s="31" t="str">
        <f>IF(B9=0,"","CIE")</f>
        <v>CIE</v>
      </c>
      <c r="O34" s="31" t="str">
        <f>IF(B9=0,"","SEE")</f>
        <v>SEE</v>
      </c>
      <c r="P34" s="31" t="str">
        <f>IF(B10=0,"","CIE")</f>
        <v>CIE</v>
      </c>
      <c r="Q34" s="31" t="str">
        <f>IF(B10=0,"","SEE")</f>
        <v>SEE</v>
      </c>
      <c r="R34" s="31" t="str">
        <f>IF(B11=0,"","CIE")</f>
        <v>CIE</v>
      </c>
      <c r="S34" s="31" t="str">
        <f>IF(B11=0,"","SEE")</f>
        <v>SEE</v>
      </c>
      <c r="T34" s="31" t="str">
        <f>IF(B12=0,"","CIE")</f>
        <v>CIE</v>
      </c>
      <c r="U34" s="31" t="str">
        <f>IF(B12=0,"","SEE")</f>
        <v>SEE</v>
      </c>
      <c r="V34" s="31" t="str">
        <f>IF(B13=0,"","CIE")</f>
        <v>CIE</v>
      </c>
      <c r="W34" s="31" t="str">
        <f>IF(B13=0,"","SEE")</f>
        <v>SEE</v>
      </c>
    </row>
    <row r="35" spans="1:23" s="15" customFormat="1" ht="14.15" x14ac:dyDescent="0.35">
      <c r="A35" s="92">
        <f>IF(B35&lt;&gt;"",COUNTA($B35:B$35),"")</f>
        <v>1</v>
      </c>
      <c r="B35" s="13" t="s">
        <v>46</v>
      </c>
      <c r="C35" s="13" t="s">
        <v>47</v>
      </c>
      <c r="D35" s="33">
        <f>IF(C35="","",(SUM(H35:W35)/D$29)*100)</f>
        <v>0</v>
      </c>
      <c r="E35" s="92" t="str">
        <f>IF(ISBLANK(B35),"",IF(OR(AND(I35&lt;18, I35&lt;&gt;""),AND(K35&lt;18, K35&lt;&gt;""),AND(M35&lt;18, M35&lt;&gt;""),AND(O35&lt;18, O35&lt;&gt;""),AND(Q35&lt;18, Q35&lt;&gt;""),AND(S35&lt;18, S35&lt;&gt;""),AND(U35&lt;18, U35&lt;&gt;""),AND(W35&lt;18, W35&lt;&gt;"")),"FAIL","PASS"))</f>
        <v>PASS</v>
      </c>
      <c r="F35" s="92" t="str">
        <f>IF(E35="Pass",G35, IF(E35="FAIL","FAIL",""))</f>
        <v/>
      </c>
      <c r="G35" s="34" t="str">
        <f t="shared" ref="G35:G98" si="29">IF(D35 = "", "", IF(D35 &gt;= 70, "FCD", IF(D35 &gt;= 60, "FC", IF(D35 &gt;= 35, "SC", ""))))</f>
        <v/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spans="1:23" s="15" customFormat="1" ht="14.15" x14ac:dyDescent="0.35">
      <c r="A36" s="92">
        <f>IF(B36&lt;&gt;"",COUNTA($B$35:B36),"")</f>
        <v>2</v>
      </c>
      <c r="B36" s="13" t="s">
        <v>48</v>
      </c>
      <c r="C36" s="13" t="s">
        <v>49</v>
      </c>
      <c r="D36" s="33">
        <f>IF(C36="","",(SUM(H36:W36)/D$29)*100)</f>
        <v>0</v>
      </c>
      <c r="E36" s="92" t="str">
        <f t="shared" ref="E36:E40" si="30">IF(ISBLANK(B36),"",IF(OR(AND(I36&lt;18, I36&lt;&gt;""),AND(K36&lt;18, K36&lt;&gt;""),AND(M36&lt;18, M36&lt;&gt;""),AND(O36&lt;18, O36&lt;&gt;""),AND(Q36&lt;18, Q36&lt;&gt;""),AND(S36&lt;18, S36&lt;&gt;""),AND(U36&lt;18, U36&lt;&gt;""),AND(W36&lt;18, W36&lt;&gt;"")),"FAIL","PASS"))</f>
        <v>PASS</v>
      </c>
      <c r="F36" s="92" t="str">
        <f>IF(E36="Pass",G36, IF(E36="FAIL","FAIL",""))</f>
        <v/>
      </c>
      <c r="G36" s="34" t="str">
        <f t="shared" si="29"/>
        <v/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 spans="1:23" s="15" customFormat="1" ht="14.15" x14ac:dyDescent="0.35">
      <c r="A37" s="92">
        <f>IF(B37&lt;&gt;"",COUNTA($B$35:B37),"")</f>
        <v>3</v>
      </c>
      <c r="B37" s="13" t="s">
        <v>50</v>
      </c>
      <c r="C37" s="13" t="s">
        <v>51</v>
      </c>
      <c r="D37" s="33">
        <f t="shared" ref="D37:D100" si="31">IF(C37="","",(SUM(H37:W37)/D$29)*100)</f>
        <v>0</v>
      </c>
      <c r="E37" s="92" t="str">
        <f t="shared" si="30"/>
        <v>PASS</v>
      </c>
      <c r="F37" s="92" t="str">
        <f t="shared" ref="F37:F100" si="32">IF(E37="Pass",G37, IF(E37="FAIL","FAIL",""))</f>
        <v/>
      </c>
      <c r="G37" s="34" t="str">
        <f t="shared" si="29"/>
        <v/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</row>
    <row r="38" spans="1:23" s="15" customFormat="1" ht="14.15" x14ac:dyDescent="0.35">
      <c r="A38" s="92">
        <f>IF(B38&lt;&gt;"",COUNTA($B$35:B38),"")</f>
        <v>4</v>
      </c>
      <c r="B38" s="13" t="s">
        <v>52</v>
      </c>
      <c r="C38" s="13" t="s">
        <v>53</v>
      </c>
      <c r="D38" s="33">
        <f t="shared" si="31"/>
        <v>0</v>
      </c>
      <c r="E38" s="92" t="str">
        <f t="shared" si="30"/>
        <v>PASS</v>
      </c>
      <c r="F38" s="92" t="str">
        <f t="shared" si="32"/>
        <v/>
      </c>
      <c r="G38" s="34" t="str">
        <f t="shared" si="29"/>
        <v/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 spans="1:23" s="15" customFormat="1" ht="14.15" x14ac:dyDescent="0.35">
      <c r="A39" s="92">
        <f>IF(B39&lt;&gt;"",COUNTA($B$35:B39),"")</f>
        <v>5</v>
      </c>
      <c r="B39" s="13" t="s">
        <v>54</v>
      </c>
      <c r="C39" s="13" t="s">
        <v>55</v>
      </c>
      <c r="D39" s="33">
        <f t="shared" si="31"/>
        <v>0</v>
      </c>
      <c r="E39" s="92" t="str">
        <f t="shared" si="30"/>
        <v>PASS</v>
      </c>
      <c r="F39" s="92" t="str">
        <f t="shared" si="32"/>
        <v/>
      </c>
      <c r="G39" s="34" t="str">
        <f t="shared" si="29"/>
        <v/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 spans="1:23" s="15" customFormat="1" ht="14.15" x14ac:dyDescent="0.35">
      <c r="A40" s="92">
        <f>IF(B40&lt;&gt;"",COUNTA($B$35:B40),"")</f>
        <v>6</v>
      </c>
      <c r="B40" s="13" t="s">
        <v>56</v>
      </c>
      <c r="C40" s="13" t="s">
        <v>57</v>
      </c>
      <c r="D40" s="33">
        <f t="shared" si="31"/>
        <v>0</v>
      </c>
      <c r="E40" s="92" t="str">
        <f t="shared" si="30"/>
        <v>PASS</v>
      </c>
      <c r="F40" s="92" t="str">
        <f t="shared" si="32"/>
        <v/>
      </c>
      <c r="G40" s="34" t="str">
        <f t="shared" si="29"/>
        <v/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</row>
    <row r="41" spans="1:23" s="15" customFormat="1" ht="14.15" x14ac:dyDescent="0.35">
      <c r="A41" s="92">
        <f>IF(B41&lt;&gt;"",COUNTA($B$35:B41),"")</f>
        <v>7</v>
      </c>
      <c r="B41" s="13" t="s">
        <v>58</v>
      </c>
      <c r="C41" s="13" t="s">
        <v>59</v>
      </c>
      <c r="D41" s="33">
        <f t="shared" si="31"/>
        <v>0</v>
      </c>
      <c r="E41" s="92" t="str">
        <f t="shared" ref="E41:E104" si="33">IF(ISBLANK(B41),"",IF(OR(I41&lt;18,K41&lt;18,M41&lt;18,O41&lt;18,Q41&lt;18,S41&lt;18,U41&lt;18,W41&lt;18),"FAIL","PASS"))</f>
        <v>FAIL</v>
      </c>
      <c r="F41" s="92" t="str">
        <f t="shared" si="32"/>
        <v>FAIL</v>
      </c>
      <c r="G41" s="34" t="str">
        <f t="shared" si="29"/>
        <v/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spans="1:23" s="15" customFormat="1" ht="14.15" x14ac:dyDescent="0.35">
      <c r="A42" s="92">
        <f>IF(B42&lt;&gt;"",COUNTA($B$35:B42),"")</f>
        <v>8</v>
      </c>
      <c r="B42" s="13" t="s">
        <v>60</v>
      </c>
      <c r="C42" s="13" t="s">
        <v>61</v>
      </c>
      <c r="D42" s="33">
        <f t="shared" si="31"/>
        <v>0</v>
      </c>
      <c r="E42" s="92" t="str">
        <f t="shared" si="33"/>
        <v>FAIL</v>
      </c>
      <c r="F42" s="92" t="str">
        <f t="shared" si="32"/>
        <v>FAIL</v>
      </c>
      <c r="G42" s="34" t="str">
        <f t="shared" si="29"/>
        <v/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 spans="1:23" s="15" customFormat="1" ht="14.15" x14ac:dyDescent="0.35">
      <c r="A43" s="92">
        <f>IF(B43&lt;&gt;"",COUNTA($B$35:B43),"")</f>
        <v>9</v>
      </c>
      <c r="B43" s="13" t="s">
        <v>62</v>
      </c>
      <c r="C43" s="13" t="s">
        <v>63</v>
      </c>
      <c r="D43" s="33">
        <f t="shared" si="31"/>
        <v>0</v>
      </c>
      <c r="E43" s="92" t="str">
        <f t="shared" si="33"/>
        <v>FAIL</v>
      </c>
      <c r="F43" s="92" t="str">
        <f t="shared" si="32"/>
        <v>FAIL</v>
      </c>
      <c r="G43" s="34" t="str">
        <f t="shared" si="29"/>
        <v/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</row>
    <row r="44" spans="1:23" s="15" customFormat="1" ht="14.15" x14ac:dyDescent="0.35">
      <c r="A44" s="92">
        <f>IF(B44&lt;&gt;"",COUNTA($B$35:B44),"")</f>
        <v>10</v>
      </c>
      <c r="B44" s="13" t="s">
        <v>64</v>
      </c>
      <c r="C44" s="13" t="s">
        <v>65</v>
      </c>
      <c r="D44" s="33">
        <f t="shared" si="31"/>
        <v>0</v>
      </c>
      <c r="E44" s="92" t="str">
        <f t="shared" si="33"/>
        <v>FAIL</v>
      </c>
      <c r="F44" s="92" t="str">
        <f t="shared" si="32"/>
        <v>FAIL</v>
      </c>
      <c r="G44" s="34" t="str">
        <f t="shared" si="29"/>
        <v/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</row>
    <row r="45" spans="1:23" s="15" customFormat="1" ht="14.15" x14ac:dyDescent="0.35">
      <c r="A45" s="92">
        <f>IF(B45&lt;&gt;"",COUNTA($B$35:B45),"")</f>
        <v>11</v>
      </c>
      <c r="B45" s="13" t="s">
        <v>66</v>
      </c>
      <c r="C45" s="13" t="s">
        <v>67</v>
      </c>
      <c r="D45" s="33">
        <f t="shared" si="31"/>
        <v>0</v>
      </c>
      <c r="E45" s="92" t="str">
        <f t="shared" si="33"/>
        <v>FAIL</v>
      </c>
      <c r="F45" s="92" t="str">
        <f t="shared" si="32"/>
        <v>FAIL</v>
      </c>
      <c r="G45" s="34" t="str">
        <f t="shared" si="29"/>
        <v/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spans="1:23" s="15" customFormat="1" ht="14.15" x14ac:dyDescent="0.35">
      <c r="A46" s="92">
        <f>IF(B46&lt;&gt;"",COUNTA($B$35:B46),"")</f>
        <v>12</v>
      </c>
      <c r="B46" s="13" t="s">
        <v>68</v>
      </c>
      <c r="C46" s="13" t="s">
        <v>69</v>
      </c>
      <c r="D46" s="33">
        <f t="shared" si="31"/>
        <v>0</v>
      </c>
      <c r="E46" s="92" t="str">
        <f t="shared" si="33"/>
        <v>FAIL</v>
      </c>
      <c r="F46" s="92" t="str">
        <f t="shared" si="32"/>
        <v>FAIL</v>
      </c>
      <c r="G46" s="34" t="str">
        <f t="shared" si="29"/>
        <v/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spans="1:23" s="15" customFormat="1" ht="14.15" x14ac:dyDescent="0.35">
      <c r="A47" s="92">
        <f>IF(B47&lt;&gt;"",COUNTA($B$35:B47),"")</f>
        <v>13</v>
      </c>
      <c r="B47" s="13" t="s">
        <v>70</v>
      </c>
      <c r="C47" s="13" t="s">
        <v>71</v>
      </c>
      <c r="D47" s="33">
        <f t="shared" si="31"/>
        <v>0</v>
      </c>
      <c r="E47" s="92" t="str">
        <f t="shared" si="33"/>
        <v>FAIL</v>
      </c>
      <c r="F47" s="92" t="str">
        <f t="shared" si="32"/>
        <v>FAIL</v>
      </c>
      <c r="G47" s="34" t="str">
        <f t="shared" si="29"/>
        <v/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spans="1:23" s="15" customFormat="1" ht="14.15" x14ac:dyDescent="0.35">
      <c r="A48" s="92">
        <f>IF(B48&lt;&gt;"",COUNTA($B$35:B48),"")</f>
        <v>14</v>
      </c>
      <c r="B48" s="13" t="s">
        <v>72</v>
      </c>
      <c r="C48" s="13" t="s">
        <v>73</v>
      </c>
      <c r="D48" s="33">
        <f t="shared" si="31"/>
        <v>0</v>
      </c>
      <c r="E48" s="92" t="str">
        <f t="shared" si="33"/>
        <v>FAIL</v>
      </c>
      <c r="F48" s="92" t="str">
        <f t="shared" si="32"/>
        <v>FAIL</v>
      </c>
      <c r="G48" s="34" t="str">
        <f t="shared" si="29"/>
        <v/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spans="1:23" s="15" customFormat="1" ht="14.15" x14ac:dyDescent="0.35">
      <c r="A49" s="92">
        <f>IF(B49&lt;&gt;"",COUNTA($B$35:B49),"")</f>
        <v>15</v>
      </c>
      <c r="B49" s="13" t="s">
        <v>74</v>
      </c>
      <c r="C49" s="13" t="s">
        <v>75</v>
      </c>
      <c r="D49" s="33">
        <f t="shared" si="31"/>
        <v>0</v>
      </c>
      <c r="E49" s="92" t="str">
        <f t="shared" si="33"/>
        <v>FAIL</v>
      </c>
      <c r="F49" s="92" t="str">
        <f t="shared" si="32"/>
        <v>FAIL</v>
      </c>
      <c r="G49" s="34" t="str">
        <f t="shared" si="29"/>
        <v/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 spans="1:23" s="15" customFormat="1" ht="14.15" x14ac:dyDescent="0.35">
      <c r="A50" s="92">
        <f>IF(B50&lt;&gt;"",COUNTA($B$35:B50),"")</f>
        <v>16</v>
      </c>
      <c r="B50" s="13" t="s">
        <v>76</v>
      </c>
      <c r="C50" s="13" t="s">
        <v>77</v>
      </c>
      <c r="D50" s="33">
        <f t="shared" si="31"/>
        <v>0</v>
      </c>
      <c r="E50" s="92" t="str">
        <f t="shared" si="33"/>
        <v>FAIL</v>
      </c>
      <c r="F50" s="92" t="str">
        <f t="shared" si="32"/>
        <v>FAIL</v>
      </c>
      <c r="G50" s="34" t="str">
        <f t="shared" si="29"/>
        <v/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spans="1:23" s="15" customFormat="1" ht="14.15" x14ac:dyDescent="0.35">
      <c r="A51" s="92">
        <f>IF(B51&lt;&gt;"",COUNTA($B$35:B51),"")</f>
        <v>17</v>
      </c>
      <c r="B51" s="13" t="s">
        <v>78</v>
      </c>
      <c r="C51" s="13" t="s">
        <v>79</v>
      </c>
      <c r="D51" s="33">
        <f t="shared" si="31"/>
        <v>0</v>
      </c>
      <c r="E51" s="92" t="str">
        <f t="shared" si="33"/>
        <v>FAIL</v>
      </c>
      <c r="F51" s="92" t="str">
        <f t="shared" si="32"/>
        <v>FAIL</v>
      </c>
      <c r="G51" s="34" t="str">
        <f t="shared" si="29"/>
        <v/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spans="1:23" s="15" customFormat="1" ht="14.15" x14ac:dyDescent="0.35">
      <c r="A52" s="92">
        <f>IF(B52&lt;&gt;"",COUNTA($B$35:B52),"")</f>
        <v>18</v>
      </c>
      <c r="B52" s="13" t="s">
        <v>80</v>
      </c>
      <c r="C52" s="13" t="s">
        <v>81</v>
      </c>
      <c r="D52" s="33">
        <f t="shared" si="31"/>
        <v>0</v>
      </c>
      <c r="E52" s="92" t="str">
        <f t="shared" si="33"/>
        <v>FAIL</v>
      </c>
      <c r="F52" s="92" t="str">
        <f t="shared" si="32"/>
        <v>FAIL</v>
      </c>
      <c r="G52" s="34" t="str">
        <f t="shared" si="29"/>
        <v/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spans="1:23" s="15" customFormat="1" ht="14.15" x14ac:dyDescent="0.35">
      <c r="A53" s="92">
        <f>IF(B53&lt;&gt;"",COUNTA($B$35:B53),"")</f>
        <v>19</v>
      </c>
      <c r="B53" s="13" t="s">
        <v>82</v>
      </c>
      <c r="C53" s="13" t="s">
        <v>83</v>
      </c>
      <c r="D53" s="33">
        <f t="shared" si="31"/>
        <v>0</v>
      </c>
      <c r="E53" s="92" t="str">
        <f t="shared" si="33"/>
        <v>FAIL</v>
      </c>
      <c r="F53" s="92" t="str">
        <f t="shared" si="32"/>
        <v>FAIL</v>
      </c>
      <c r="G53" s="34" t="str">
        <f t="shared" si="29"/>
        <v/>
      </c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spans="1:23" s="15" customFormat="1" ht="14.15" x14ac:dyDescent="0.35">
      <c r="A54" s="92">
        <f>IF(B54&lt;&gt;"",COUNTA($B$35:B54),"")</f>
        <v>20</v>
      </c>
      <c r="B54" s="13" t="s">
        <v>84</v>
      </c>
      <c r="C54" s="13" t="s">
        <v>85</v>
      </c>
      <c r="D54" s="33">
        <f t="shared" si="31"/>
        <v>0</v>
      </c>
      <c r="E54" s="92" t="str">
        <f t="shared" si="33"/>
        <v>FAIL</v>
      </c>
      <c r="F54" s="92" t="str">
        <f t="shared" si="32"/>
        <v>FAIL</v>
      </c>
      <c r="G54" s="34" t="str">
        <f t="shared" si="29"/>
        <v/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 spans="1:23" s="15" customFormat="1" ht="14.15" x14ac:dyDescent="0.35">
      <c r="A55" s="92">
        <f>IF(B55&lt;&gt;"",COUNTA($B$35:B55),"")</f>
        <v>21</v>
      </c>
      <c r="B55" s="13" t="s">
        <v>86</v>
      </c>
      <c r="C55" s="13" t="s">
        <v>87</v>
      </c>
      <c r="D55" s="33">
        <f t="shared" si="31"/>
        <v>0</v>
      </c>
      <c r="E55" s="92" t="str">
        <f t="shared" si="33"/>
        <v>FAIL</v>
      </c>
      <c r="F55" s="92" t="str">
        <f t="shared" si="32"/>
        <v>FAIL</v>
      </c>
      <c r="G55" s="34" t="str">
        <f t="shared" si="29"/>
        <v/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  <row r="56" spans="1:23" s="15" customFormat="1" ht="14.15" x14ac:dyDescent="0.35">
      <c r="A56" s="92">
        <f>IF(B56&lt;&gt;"",COUNTA($B$35:B56),"")</f>
        <v>22</v>
      </c>
      <c r="B56" s="13" t="s">
        <v>88</v>
      </c>
      <c r="C56" s="13" t="s">
        <v>89</v>
      </c>
      <c r="D56" s="33">
        <f t="shared" si="31"/>
        <v>0</v>
      </c>
      <c r="E56" s="92" t="str">
        <f t="shared" si="33"/>
        <v>FAIL</v>
      </c>
      <c r="F56" s="92" t="str">
        <f t="shared" si="32"/>
        <v>FAIL</v>
      </c>
      <c r="G56" s="34" t="str">
        <f t="shared" si="29"/>
        <v/>
      </c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 spans="1:23" s="15" customFormat="1" ht="14.15" x14ac:dyDescent="0.35">
      <c r="A57" s="92">
        <f>IF(B57&lt;&gt;"",COUNTA($B$35:B57),"")</f>
        <v>23</v>
      </c>
      <c r="B57" s="13" t="s">
        <v>90</v>
      </c>
      <c r="C57" s="13" t="s">
        <v>91</v>
      </c>
      <c r="D57" s="33">
        <f t="shared" si="31"/>
        <v>0</v>
      </c>
      <c r="E57" s="92" t="str">
        <f t="shared" si="33"/>
        <v>FAIL</v>
      </c>
      <c r="F57" s="92" t="str">
        <f t="shared" si="32"/>
        <v>FAIL</v>
      </c>
      <c r="G57" s="34" t="str">
        <f t="shared" si="29"/>
        <v/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</row>
    <row r="58" spans="1:23" s="15" customFormat="1" ht="14.15" x14ac:dyDescent="0.35">
      <c r="A58" s="92">
        <f>IF(B58&lt;&gt;"",COUNTA($B$35:B58),"")</f>
        <v>24</v>
      </c>
      <c r="B58" s="13" t="s">
        <v>92</v>
      </c>
      <c r="C58" s="13" t="s">
        <v>93</v>
      </c>
      <c r="D58" s="33">
        <f t="shared" si="31"/>
        <v>0</v>
      </c>
      <c r="E58" s="92" t="str">
        <f t="shared" si="33"/>
        <v>FAIL</v>
      </c>
      <c r="F58" s="92" t="str">
        <f t="shared" si="32"/>
        <v>FAIL</v>
      </c>
      <c r="G58" s="34" t="str">
        <f t="shared" si="29"/>
        <v/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</row>
    <row r="59" spans="1:23" s="15" customFormat="1" ht="14.15" x14ac:dyDescent="0.35">
      <c r="A59" s="92">
        <f>IF(B59&lt;&gt;"",COUNTA($B$35:B59),"")</f>
        <v>25</v>
      </c>
      <c r="B59" s="13" t="s">
        <v>94</v>
      </c>
      <c r="C59" s="13" t="s">
        <v>95</v>
      </c>
      <c r="D59" s="33">
        <f t="shared" si="31"/>
        <v>0</v>
      </c>
      <c r="E59" s="92" t="str">
        <f t="shared" si="33"/>
        <v>FAIL</v>
      </c>
      <c r="F59" s="92" t="str">
        <f t="shared" si="32"/>
        <v>FAIL</v>
      </c>
      <c r="G59" s="34" t="str">
        <f t="shared" si="29"/>
        <v/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</row>
    <row r="60" spans="1:23" s="15" customFormat="1" ht="14.15" x14ac:dyDescent="0.35">
      <c r="A60" s="92">
        <f>IF(B60&lt;&gt;"",COUNTA($B$35:B60),"")</f>
        <v>26</v>
      </c>
      <c r="B60" s="13" t="s">
        <v>96</v>
      </c>
      <c r="C60" s="13" t="s">
        <v>97</v>
      </c>
      <c r="D60" s="33">
        <f t="shared" si="31"/>
        <v>0</v>
      </c>
      <c r="E60" s="92" t="str">
        <f t="shared" si="33"/>
        <v>FAIL</v>
      </c>
      <c r="F60" s="92" t="str">
        <f t="shared" si="32"/>
        <v>FAIL</v>
      </c>
      <c r="G60" s="34" t="str">
        <f t="shared" si="29"/>
        <v/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</row>
    <row r="61" spans="1:23" s="15" customFormat="1" ht="14.15" x14ac:dyDescent="0.35">
      <c r="A61" s="92">
        <f>IF(B61&lt;&gt;"",COUNTA($B$35:B61),"")</f>
        <v>27</v>
      </c>
      <c r="B61" s="13" t="s">
        <v>98</v>
      </c>
      <c r="C61" s="13" t="s">
        <v>99</v>
      </c>
      <c r="D61" s="33">
        <f t="shared" si="31"/>
        <v>0</v>
      </c>
      <c r="E61" s="92" t="str">
        <f t="shared" si="33"/>
        <v>FAIL</v>
      </c>
      <c r="F61" s="92" t="str">
        <f t="shared" si="32"/>
        <v>FAIL</v>
      </c>
      <c r="G61" s="34" t="str">
        <f t="shared" si="29"/>
        <v/>
      </c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</row>
    <row r="62" spans="1:23" s="15" customFormat="1" ht="14.15" x14ac:dyDescent="0.35">
      <c r="A62" s="92">
        <f>IF(B62&lt;&gt;"",COUNTA($B$35:B62),"")</f>
        <v>28</v>
      </c>
      <c r="B62" s="13" t="s">
        <v>100</v>
      </c>
      <c r="C62" s="13" t="s">
        <v>101</v>
      </c>
      <c r="D62" s="33">
        <f t="shared" si="31"/>
        <v>0</v>
      </c>
      <c r="E62" s="92" t="str">
        <f t="shared" si="33"/>
        <v>FAIL</v>
      </c>
      <c r="F62" s="92" t="str">
        <f t="shared" si="32"/>
        <v>FAIL</v>
      </c>
      <c r="G62" s="34" t="str">
        <f t="shared" si="29"/>
        <v/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</row>
    <row r="63" spans="1:23" s="15" customFormat="1" ht="14.15" x14ac:dyDescent="0.35">
      <c r="A63" s="92">
        <f>IF(B63&lt;&gt;"",COUNTA($B$35:B63),"")</f>
        <v>29</v>
      </c>
      <c r="B63" s="13" t="s">
        <v>102</v>
      </c>
      <c r="C63" s="13" t="s">
        <v>103</v>
      </c>
      <c r="D63" s="33">
        <f t="shared" si="31"/>
        <v>0</v>
      </c>
      <c r="E63" s="92" t="str">
        <f t="shared" si="33"/>
        <v>FAIL</v>
      </c>
      <c r="F63" s="92" t="str">
        <f t="shared" si="32"/>
        <v>FAIL</v>
      </c>
      <c r="G63" s="34" t="str">
        <f t="shared" si="29"/>
        <v/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</row>
    <row r="64" spans="1:23" s="15" customFormat="1" ht="14.15" x14ac:dyDescent="0.35">
      <c r="A64" s="92">
        <f>IF(B64&lt;&gt;"",COUNTA($B$35:B64),"")</f>
        <v>30</v>
      </c>
      <c r="B64" s="13" t="s">
        <v>104</v>
      </c>
      <c r="C64" s="13" t="s">
        <v>105</v>
      </c>
      <c r="D64" s="33">
        <f t="shared" si="31"/>
        <v>0</v>
      </c>
      <c r="E64" s="92" t="str">
        <f t="shared" si="33"/>
        <v>FAIL</v>
      </c>
      <c r="F64" s="92" t="str">
        <f t="shared" si="32"/>
        <v>FAIL</v>
      </c>
      <c r="G64" s="34" t="str">
        <f t="shared" si="29"/>
        <v/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</row>
    <row r="65" spans="1:23" s="15" customFormat="1" ht="14.15" x14ac:dyDescent="0.35">
      <c r="A65" s="92">
        <f>IF(B65&lt;&gt;"",COUNTA($B$35:B65),"")</f>
        <v>31</v>
      </c>
      <c r="B65" s="13" t="s">
        <v>106</v>
      </c>
      <c r="C65" s="13" t="s">
        <v>107</v>
      </c>
      <c r="D65" s="33">
        <f t="shared" si="31"/>
        <v>0</v>
      </c>
      <c r="E65" s="92" t="str">
        <f t="shared" si="33"/>
        <v>FAIL</v>
      </c>
      <c r="F65" s="92" t="str">
        <f t="shared" si="32"/>
        <v>FAIL</v>
      </c>
      <c r="G65" s="34" t="str">
        <f t="shared" si="29"/>
        <v/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</row>
    <row r="66" spans="1:23" s="15" customFormat="1" ht="14.15" x14ac:dyDescent="0.35">
      <c r="A66" s="92">
        <f>IF(B66&lt;&gt;"",COUNTA($B$35:B66),"")</f>
        <v>32</v>
      </c>
      <c r="B66" s="13" t="s">
        <v>108</v>
      </c>
      <c r="C66" s="13" t="s">
        <v>109</v>
      </c>
      <c r="D66" s="33">
        <f t="shared" si="31"/>
        <v>0</v>
      </c>
      <c r="E66" s="92" t="str">
        <f t="shared" si="33"/>
        <v>FAIL</v>
      </c>
      <c r="F66" s="92" t="str">
        <f t="shared" si="32"/>
        <v>FAIL</v>
      </c>
      <c r="G66" s="34" t="str">
        <f t="shared" si="29"/>
        <v/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</row>
    <row r="67" spans="1:23" s="15" customFormat="1" ht="14.15" x14ac:dyDescent="0.35">
      <c r="A67" s="92">
        <f>IF(B67&lt;&gt;"",COUNTA($B$35:B67),"")</f>
        <v>33</v>
      </c>
      <c r="B67" s="13" t="s">
        <v>110</v>
      </c>
      <c r="C67" s="13" t="s">
        <v>111</v>
      </c>
      <c r="D67" s="33">
        <f t="shared" si="31"/>
        <v>0</v>
      </c>
      <c r="E67" s="92" t="str">
        <f t="shared" si="33"/>
        <v>FAIL</v>
      </c>
      <c r="F67" s="92" t="str">
        <f t="shared" si="32"/>
        <v>FAIL</v>
      </c>
      <c r="G67" s="34" t="str">
        <f t="shared" si="29"/>
        <v/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</row>
    <row r="68" spans="1:23" s="15" customFormat="1" ht="14.15" x14ac:dyDescent="0.35">
      <c r="A68" s="92">
        <f>IF(B68&lt;&gt;"",COUNTA($B$35:B68),"")</f>
        <v>34</v>
      </c>
      <c r="B68" s="13" t="s">
        <v>112</v>
      </c>
      <c r="C68" s="13" t="s">
        <v>113</v>
      </c>
      <c r="D68" s="33">
        <f t="shared" si="31"/>
        <v>0</v>
      </c>
      <c r="E68" s="92" t="str">
        <f t="shared" si="33"/>
        <v>FAIL</v>
      </c>
      <c r="F68" s="92" t="str">
        <f t="shared" si="32"/>
        <v>FAIL</v>
      </c>
      <c r="G68" s="34" t="str">
        <f t="shared" si="29"/>
        <v/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</row>
    <row r="69" spans="1:23" s="15" customFormat="1" ht="14.15" x14ac:dyDescent="0.35">
      <c r="A69" s="92">
        <f>IF(B69&lt;&gt;"",COUNTA($B$35:B69),"")</f>
        <v>35</v>
      </c>
      <c r="B69" s="13" t="s">
        <v>114</v>
      </c>
      <c r="C69" s="13" t="s">
        <v>115</v>
      </c>
      <c r="D69" s="33">
        <f t="shared" si="31"/>
        <v>0</v>
      </c>
      <c r="E69" s="92" t="str">
        <f t="shared" si="33"/>
        <v>FAIL</v>
      </c>
      <c r="F69" s="92" t="str">
        <f t="shared" si="32"/>
        <v>FAIL</v>
      </c>
      <c r="G69" s="34" t="str">
        <f t="shared" si="29"/>
        <v/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</row>
    <row r="70" spans="1:23" s="15" customFormat="1" ht="14.15" x14ac:dyDescent="0.35">
      <c r="A70" s="92">
        <f>IF(B70&lt;&gt;"",COUNTA($B$35:B70),"")</f>
        <v>36</v>
      </c>
      <c r="B70" s="13" t="s">
        <v>116</v>
      </c>
      <c r="C70" s="13" t="s">
        <v>117</v>
      </c>
      <c r="D70" s="33">
        <f t="shared" si="31"/>
        <v>0</v>
      </c>
      <c r="E70" s="92" t="str">
        <f t="shared" si="33"/>
        <v>FAIL</v>
      </c>
      <c r="F70" s="92" t="str">
        <f t="shared" si="32"/>
        <v>FAIL</v>
      </c>
      <c r="G70" s="34" t="str">
        <f t="shared" si="29"/>
        <v/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</row>
    <row r="71" spans="1:23" s="15" customFormat="1" ht="14.15" x14ac:dyDescent="0.35">
      <c r="A71" s="92">
        <f>IF(B71&lt;&gt;"",COUNTA($B$35:B71),"")</f>
        <v>37</v>
      </c>
      <c r="B71" s="13" t="s">
        <v>118</v>
      </c>
      <c r="C71" s="13" t="s">
        <v>119</v>
      </c>
      <c r="D71" s="33">
        <f t="shared" si="31"/>
        <v>0</v>
      </c>
      <c r="E71" s="92" t="str">
        <f t="shared" si="33"/>
        <v>FAIL</v>
      </c>
      <c r="F71" s="92" t="str">
        <f t="shared" si="32"/>
        <v>FAIL</v>
      </c>
      <c r="G71" s="34" t="str">
        <f t="shared" si="29"/>
        <v/>
      </c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</row>
    <row r="72" spans="1:23" s="15" customFormat="1" ht="14.15" x14ac:dyDescent="0.35">
      <c r="A72" s="92">
        <f>IF(B72&lt;&gt;"",COUNTA($B$35:B72),"")</f>
        <v>38</v>
      </c>
      <c r="B72" s="13" t="s">
        <v>120</v>
      </c>
      <c r="C72" s="13" t="s">
        <v>121</v>
      </c>
      <c r="D72" s="33">
        <f t="shared" si="31"/>
        <v>0</v>
      </c>
      <c r="E72" s="92" t="str">
        <f t="shared" si="33"/>
        <v>FAIL</v>
      </c>
      <c r="F72" s="92" t="str">
        <f t="shared" si="32"/>
        <v>FAIL</v>
      </c>
      <c r="G72" s="34" t="str">
        <f t="shared" si="29"/>
        <v/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</row>
    <row r="73" spans="1:23" s="15" customFormat="1" ht="14.15" x14ac:dyDescent="0.35">
      <c r="A73" s="92">
        <f>IF(B73&lt;&gt;"",COUNTA($B$35:B73),"")</f>
        <v>39</v>
      </c>
      <c r="B73" s="13" t="s">
        <v>122</v>
      </c>
      <c r="C73" s="13" t="s">
        <v>123</v>
      </c>
      <c r="D73" s="33">
        <f t="shared" si="31"/>
        <v>0</v>
      </c>
      <c r="E73" s="92" t="str">
        <f t="shared" si="33"/>
        <v>FAIL</v>
      </c>
      <c r="F73" s="92" t="str">
        <f t="shared" si="32"/>
        <v>FAIL</v>
      </c>
      <c r="G73" s="34" t="str">
        <f t="shared" si="29"/>
        <v/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</row>
    <row r="74" spans="1:23" s="15" customFormat="1" ht="14.15" x14ac:dyDescent="0.35">
      <c r="A74" s="92">
        <f>IF(B74&lt;&gt;"",COUNTA($B$35:B74),"")</f>
        <v>40</v>
      </c>
      <c r="B74" s="13" t="s">
        <v>124</v>
      </c>
      <c r="C74" s="13" t="s">
        <v>125</v>
      </c>
      <c r="D74" s="33">
        <f t="shared" si="31"/>
        <v>0</v>
      </c>
      <c r="E74" s="92" t="str">
        <f t="shared" si="33"/>
        <v>FAIL</v>
      </c>
      <c r="F74" s="92" t="str">
        <f t="shared" si="32"/>
        <v>FAIL</v>
      </c>
      <c r="G74" s="34" t="str">
        <f t="shared" si="29"/>
        <v/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</row>
    <row r="75" spans="1:23" s="15" customFormat="1" ht="14.15" x14ac:dyDescent="0.35">
      <c r="A75" s="92">
        <f>IF(B75&lt;&gt;"",COUNTA($B$35:B75),"")</f>
        <v>41</v>
      </c>
      <c r="B75" s="13" t="s">
        <v>126</v>
      </c>
      <c r="C75" s="13" t="s">
        <v>127</v>
      </c>
      <c r="D75" s="33">
        <f t="shared" si="31"/>
        <v>0</v>
      </c>
      <c r="E75" s="92" t="str">
        <f t="shared" si="33"/>
        <v>FAIL</v>
      </c>
      <c r="F75" s="92" t="str">
        <f t="shared" si="32"/>
        <v>FAIL</v>
      </c>
      <c r="G75" s="34" t="str">
        <f t="shared" si="29"/>
        <v/>
      </c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</row>
    <row r="76" spans="1:23" s="15" customFormat="1" ht="14.15" x14ac:dyDescent="0.35">
      <c r="A76" s="92">
        <f>IF(B76&lt;&gt;"",COUNTA($B$35:B76),"")</f>
        <v>42</v>
      </c>
      <c r="B76" s="13" t="s">
        <v>128</v>
      </c>
      <c r="C76" s="13" t="s">
        <v>129</v>
      </c>
      <c r="D76" s="33">
        <f t="shared" si="31"/>
        <v>0</v>
      </c>
      <c r="E76" s="92" t="str">
        <f t="shared" si="33"/>
        <v>FAIL</v>
      </c>
      <c r="F76" s="92" t="str">
        <f t="shared" si="32"/>
        <v>FAIL</v>
      </c>
      <c r="G76" s="34" t="str">
        <f t="shared" si="29"/>
        <v/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</row>
    <row r="77" spans="1:23" s="15" customFormat="1" ht="14.15" x14ac:dyDescent="0.35">
      <c r="A77" s="92">
        <f>IF(B77&lt;&gt;"",COUNTA($B$35:B77),"")</f>
        <v>43</v>
      </c>
      <c r="B77" s="13" t="s">
        <v>130</v>
      </c>
      <c r="C77" s="13" t="s">
        <v>131</v>
      </c>
      <c r="D77" s="33">
        <f t="shared" si="31"/>
        <v>0</v>
      </c>
      <c r="E77" s="92" t="str">
        <f t="shared" si="33"/>
        <v>FAIL</v>
      </c>
      <c r="F77" s="92" t="str">
        <f t="shared" si="32"/>
        <v>FAIL</v>
      </c>
      <c r="G77" s="34" t="str">
        <f t="shared" si="29"/>
        <v/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</row>
    <row r="78" spans="1:23" s="15" customFormat="1" ht="14.15" x14ac:dyDescent="0.35">
      <c r="A78" s="92">
        <f>IF(B78&lt;&gt;"",COUNTA($B$35:B78),"")</f>
        <v>44</v>
      </c>
      <c r="B78" s="13" t="s">
        <v>132</v>
      </c>
      <c r="C78" s="13" t="s">
        <v>133</v>
      </c>
      <c r="D78" s="33">
        <f t="shared" si="31"/>
        <v>0</v>
      </c>
      <c r="E78" s="92" t="str">
        <f t="shared" si="33"/>
        <v>FAIL</v>
      </c>
      <c r="F78" s="92" t="str">
        <f t="shared" si="32"/>
        <v>FAIL</v>
      </c>
      <c r="G78" s="34" t="str">
        <f t="shared" si="29"/>
        <v/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</row>
    <row r="79" spans="1:23" s="15" customFormat="1" ht="14.15" x14ac:dyDescent="0.35">
      <c r="A79" s="92">
        <f>IF(B79&lt;&gt;"",COUNTA($B$35:B79),"")</f>
        <v>45</v>
      </c>
      <c r="B79" s="13" t="s">
        <v>134</v>
      </c>
      <c r="C79" s="14" t="s">
        <v>135</v>
      </c>
      <c r="D79" s="33">
        <f t="shared" si="31"/>
        <v>0</v>
      </c>
      <c r="E79" s="92" t="str">
        <f t="shared" si="33"/>
        <v>FAIL</v>
      </c>
      <c r="F79" s="92" t="str">
        <f t="shared" si="32"/>
        <v>FAIL</v>
      </c>
      <c r="G79" s="34" t="str">
        <f t="shared" si="29"/>
        <v/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</row>
    <row r="80" spans="1:23" s="15" customFormat="1" ht="14.15" x14ac:dyDescent="0.35">
      <c r="A80" s="92">
        <f>IF(B80&lt;&gt;"",COUNTA($B$35:B80),"")</f>
        <v>46</v>
      </c>
      <c r="B80" s="13" t="s">
        <v>136</v>
      </c>
      <c r="C80" s="13" t="s">
        <v>137</v>
      </c>
      <c r="D80" s="33">
        <f t="shared" si="31"/>
        <v>0</v>
      </c>
      <c r="E80" s="92" t="str">
        <f t="shared" si="33"/>
        <v>FAIL</v>
      </c>
      <c r="F80" s="92" t="str">
        <f t="shared" si="32"/>
        <v>FAIL</v>
      </c>
      <c r="G80" s="34" t="str">
        <f t="shared" si="29"/>
        <v/>
      </c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</row>
    <row r="81" spans="1:23" s="15" customFormat="1" ht="14.15" x14ac:dyDescent="0.35">
      <c r="A81" s="92">
        <f>IF(B81&lt;&gt;"",COUNTA($B$35:B81),"")</f>
        <v>47</v>
      </c>
      <c r="B81" s="13" t="s">
        <v>204</v>
      </c>
      <c r="C81" s="13" t="s">
        <v>205</v>
      </c>
      <c r="D81" s="33">
        <f t="shared" si="31"/>
        <v>0</v>
      </c>
      <c r="E81" s="92" t="str">
        <f t="shared" si="33"/>
        <v>FAIL</v>
      </c>
      <c r="F81" s="92" t="str">
        <f t="shared" si="32"/>
        <v>FAIL</v>
      </c>
      <c r="G81" s="34" t="str">
        <f t="shared" si="29"/>
        <v/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</row>
    <row r="82" spans="1:23" s="15" customFormat="1" ht="14.15" x14ac:dyDescent="0.35">
      <c r="A82" s="92">
        <f>IF(B82&lt;&gt;"",COUNTA($B$35:B82),"")</f>
        <v>48</v>
      </c>
      <c r="B82" s="13" t="s">
        <v>138</v>
      </c>
      <c r="C82" s="13" t="s">
        <v>139</v>
      </c>
      <c r="D82" s="33">
        <f t="shared" si="31"/>
        <v>0</v>
      </c>
      <c r="E82" s="92" t="str">
        <f t="shared" si="33"/>
        <v>FAIL</v>
      </c>
      <c r="F82" s="92" t="str">
        <f t="shared" si="32"/>
        <v>FAIL</v>
      </c>
      <c r="G82" s="34" t="str">
        <f t="shared" si="29"/>
        <v/>
      </c>
      <c r="H82" s="31"/>
      <c r="I82" s="31"/>
      <c r="J82" s="31"/>
      <c r="K82" s="31"/>
      <c r="L82" s="35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</row>
    <row r="83" spans="1:23" s="15" customFormat="1" ht="14.15" x14ac:dyDescent="0.35">
      <c r="A83" s="92">
        <f>IF(B83&lt;&gt;"",COUNTA($B$35:B83),"")</f>
        <v>49</v>
      </c>
      <c r="B83" s="13" t="s">
        <v>140</v>
      </c>
      <c r="C83" s="13" t="s">
        <v>141</v>
      </c>
      <c r="D83" s="33">
        <f t="shared" si="31"/>
        <v>0</v>
      </c>
      <c r="E83" s="92" t="str">
        <f t="shared" si="33"/>
        <v>FAIL</v>
      </c>
      <c r="F83" s="92" t="str">
        <f t="shared" si="32"/>
        <v>FAIL</v>
      </c>
      <c r="G83" s="34" t="str">
        <f t="shared" si="29"/>
        <v/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</row>
    <row r="84" spans="1:23" s="15" customFormat="1" ht="14.15" x14ac:dyDescent="0.35">
      <c r="A84" s="92">
        <f>IF(B84&lt;&gt;"",COUNTA($B$35:B84),"")</f>
        <v>50</v>
      </c>
      <c r="B84" s="13" t="s">
        <v>142</v>
      </c>
      <c r="C84" s="13" t="s">
        <v>143</v>
      </c>
      <c r="D84" s="33">
        <f t="shared" si="31"/>
        <v>0</v>
      </c>
      <c r="E84" s="92" t="str">
        <f t="shared" si="33"/>
        <v>FAIL</v>
      </c>
      <c r="F84" s="92" t="str">
        <f t="shared" si="32"/>
        <v>FAIL</v>
      </c>
      <c r="G84" s="34" t="str">
        <f t="shared" si="29"/>
        <v/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</row>
    <row r="85" spans="1:23" s="15" customFormat="1" ht="14.15" x14ac:dyDescent="0.35">
      <c r="A85" s="92">
        <f>IF(B85&lt;&gt;"",COUNTA($B$35:B85),"")</f>
        <v>51</v>
      </c>
      <c r="B85" s="13" t="s">
        <v>144</v>
      </c>
      <c r="C85" s="13" t="s">
        <v>145</v>
      </c>
      <c r="D85" s="33">
        <f t="shared" si="31"/>
        <v>0</v>
      </c>
      <c r="E85" s="92" t="str">
        <f t="shared" si="33"/>
        <v>FAIL</v>
      </c>
      <c r="F85" s="92" t="str">
        <f t="shared" si="32"/>
        <v>FAIL</v>
      </c>
      <c r="G85" s="34" t="str">
        <f t="shared" si="29"/>
        <v/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</row>
    <row r="86" spans="1:23" s="15" customFormat="1" ht="14.15" x14ac:dyDescent="0.35">
      <c r="A86" s="92">
        <f>IF(B86&lt;&gt;"",COUNTA($B$35:B86),"")</f>
        <v>52</v>
      </c>
      <c r="B86" s="13" t="s">
        <v>146</v>
      </c>
      <c r="C86" s="13" t="s">
        <v>147</v>
      </c>
      <c r="D86" s="33">
        <f t="shared" si="31"/>
        <v>0</v>
      </c>
      <c r="E86" s="92" t="str">
        <f t="shared" si="33"/>
        <v>FAIL</v>
      </c>
      <c r="F86" s="92" t="str">
        <f t="shared" si="32"/>
        <v>FAIL</v>
      </c>
      <c r="G86" s="34" t="str">
        <f t="shared" si="29"/>
        <v/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</row>
    <row r="87" spans="1:23" s="15" customFormat="1" ht="14.15" x14ac:dyDescent="0.35">
      <c r="A87" s="92">
        <f>IF(B87&lt;&gt;"",COUNTA($B$35:B87),"")</f>
        <v>53</v>
      </c>
      <c r="B87" s="13" t="s">
        <v>148</v>
      </c>
      <c r="C87" s="13" t="s">
        <v>149</v>
      </c>
      <c r="D87" s="33">
        <f t="shared" si="31"/>
        <v>0</v>
      </c>
      <c r="E87" s="92" t="str">
        <f t="shared" si="33"/>
        <v>FAIL</v>
      </c>
      <c r="F87" s="92" t="str">
        <f t="shared" si="32"/>
        <v>FAIL</v>
      </c>
      <c r="G87" s="34" t="str">
        <f t="shared" si="29"/>
        <v/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</row>
    <row r="88" spans="1:23" s="15" customFormat="1" ht="14.15" x14ac:dyDescent="0.35">
      <c r="A88" s="92">
        <f>IF(B88&lt;&gt;"",COUNTA($B$35:B88),"")</f>
        <v>54</v>
      </c>
      <c r="B88" s="13" t="s">
        <v>150</v>
      </c>
      <c r="C88" s="13" t="s">
        <v>151</v>
      </c>
      <c r="D88" s="33">
        <f t="shared" si="31"/>
        <v>0</v>
      </c>
      <c r="E88" s="92" t="str">
        <f t="shared" si="33"/>
        <v>FAIL</v>
      </c>
      <c r="F88" s="92" t="str">
        <f t="shared" si="32"/>
        <v>FAIL</v>
      </c>
      <c r="G88" s="34" t="str">
        <f t="shared" si="29"/>
        <v/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</row>
    <row r="89" spans="1:23" s="15" customFormat="1" ht="14.15" x14ac:dyDescent="0.35">
      <c r="A89" s="92">
        <f>IF(B89&lt;&gt;"",COUNTA($B$35:B89),"")</f>
        <v>55</v>
      </c>
      <c r="B89" s="13" t="s">
        <v>152</v>
      </c>
      <c r="C89" s="13" t="s">
        <v>153</v>
      </c>
      <c r="D89" s="33">
        <f t="shared" si="31"/>
        <v>0</v>
      </c>
      <c r="E89" s="92" t="str">
        <f t="shared" si="33"/>
        <v>FAIL</v>
      </c>
      <c r="F89" s="92" t="str">
        <f t="shared" si="32"/>
        <v>FAIL</v>
      </c>
      <c r="G89" s="34" t="str">
        <f t="shared" si="29"/>
        <v/>
      </c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</row>
    <row r="90" spans="1:23" s="15" customFormat="1" ht="14.15" x14ac:dyDescent="0.35">
      <c r="A90" s="92">
        <f>IF(B90&lt;&gt;"",COUNTA($B$35:B90),"")</f>
        <v>56</v>
      </c>
      <c r="B90" s="13" t="s">
        <v>154</v>
      </c>
      <c r="C90" s="13" t="s">
        <v>155</v>
      </c>
      <c r="D90" s="33">
        <f t="shared" si="31"/>
        <v>0</v>
      </c>
      <c r="E90" s="92" t="str">
        <f t="shared" si="33"/>
        <v>FAIL</v>
      </c>
      <c r="F90" s="92" t="str">
        <f t="shared" si="32"/>
        <v>FAIL</v>
      </c>
      <c r="G90" s="34" t="str">
        <f t="shared" si="29"/>
        <v/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</row>
    <row r="91" spans="1:23" s="15" customFormat="1" ht="14.15" x14ac:dyDescent="0.35">
      <c r="A91" s="68" t="str">
        <f>IF(B91&lt;&gt;"",COUNTA($B$35:B91),"")</f>
        <v/>
      </c>
      <c r="B91" s="30"/>
      <c r="C91" s="30"/>
      <c r="D91" s="62" t="str">
        <f t="shared" si="31"/>
        <v/>
      </c>
      <c r="E91" s="68" t="str">
        <f t="shared" si="33"/>
        <v/>
      </c>
      <c r="F91" s="68" t="str">
        <f t="shared" si="32"/>
        <v/>
      </c>
      <c r="G91" s="63" t="str">
        <f t="shared" si="29"/>
        <v/>
      </c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</row>
    <row r="92" spans="1:23" s="15" customFormat="1" ht="14.15" x14ac:dyDescent="0.35">
      <c r="A92" s="68" t="str">
        <f>IF(B92&lt;&gt;"",COUNTA($B$35:B92),"")</f>
        <v/>
      </c>
      <c r="B92" s="30"/>
      <c r="C92" s="30"/>
      <c r="D92" s="62" t="str">
        <f t="shared" si="31"/>
        <v/>
      </c>
      <c r="E92" s="68" t="str">
        <f t="shared" si="33"/>
        <v/>
      </c>
      <c r="F92" s="68" t="str">
        <f t="shared" si="32"/>
        <v/>
      </c>
      <c r="G92" s="63" t="str">
        <f t="shared" si="29"/>
        <v/>
      </c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</row>
    <row r="93" spans="1:23" s="15" customFormat="1" ht="14.15" x14ac:dyDescent="0.35">
      <c r="A93" s="68" t="str">
        <f>IF(B93&lt;&gt;"",COUNTA($B$35:B93),"")</f>
        <v/>
      </c>
      <c r="B93" s="30"/>
      <c r="C93" s="30"/>
      <c r="D93" s="62" t="str">
        <f t="shared" si="31"/>
        <v/>
      </c>
      <c r="E93" s="68" t="str">
        <f t="shared" si="33"/>
        <v/>
      </c>
      <c r="F93" s="68" t="str">
        <f t="shared" si="32"/>
        <v/>
      </c>
      <c r="G93" s="63" t="str">
        <f t="shared" si="29"/>
        <v/>
      </c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 spans="1:23" s="15" customFormat="1" ht="14.15" x14ac:dyDescent="0.35">
      <c r="A94" s="68" t="str">
        <f>IF(B94&lt;&gt;"",COUNTA($B$35:B94),"")</f>
        <v/>
      </c>
      <c r="B94" s="30"/>
      <c r="C94" s="30"/>
      <c r="D94" s="62" t="str">
        <f t="shared" si="31"/>
        <v/>
      </c>
      <c r="E94" s="68" t="str">
        <f t="shared" si="33"/>
        <v/>
      </c>
      <c r="F94" s="68" t="str">
        <f t="shared" si="32"/>
        <v/>
      </c>
      <c r="G94" s="63" t="str">
        <f t="shared" si="29"/>
        <v/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</row>
    <row r="95" spans="1:23" s="15" customFormat="1" ht="14.15" x14ac:dyDescent="0.35">
      <c r="A95" s="68" t="str">
        <f>IF(B95&lt;&gt;"",COUNTA($B$35:B95),"")</f>
        <v/>
      </c>
      <c r="B95" s="30"/>
      <c r="C95" s="30"/>
      <c r="D95" s="62" t="str">
        <f t="shared" si="31"/>
        <v/>
      </c>
      <c r="E95" s="68" t="str">
        <f t="shared" si="33"/>
        <v/>
      </c>
      <c r="F95" s="68" t="str">
        <f t="shared" si="32"/>
        <v/>
      </c>
      <c r="G95" s="63" t="str">
        <f t="shared" si="29"/>
        <v/>
      </c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 spans="1:23" s="15" customFormat="1" ht="14.15" x14ac:dyDescent="0.35">
      <c r="A96" s="68" t="str">
        <f>IF(B96&lt;&gt;"",COUNTA($B$35:B96),"")</f>
        <v/>
      </c>
      <c r="B96" s="30"/>
      <c r="C96" s="30"/>
      <c r="D96" s="62" t="str">
        <f t="shared" si="31"/>
        <v/>
      </c>
      <c r="E96" s="68" t="str">
        <f t="shared" si="33"/>
        <v/>
      </c>
      <c r="F96" s="68" t="str">
        <f t="shared" si="32"/>
        <v/>
      </c>
      <c r="G96" s="63" t="str">
        <f t="shared" si="29"/>
        <v/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</row>
    <row r="97" spans="1:23" s="15" customFormat="1" ht="14.15" x14ac:dyDescent="0.35">
      <c r="A97" s="68" t="str">
        <f>IF(B97&lt;&gt;"",COUNTA($B$35:B97),"")</f>
        <v/>
      </c>
      <c r="B97" s="30"/>
      <c r="C97" s="30"/>
      <c r="D97" s="62" t="str">
        <f t="shared" si="31"/>
        <v/>
      </c>
      <c r="E97" s="68" t="str">
        <f t="shared" si="33"/>
        <v/>
      </c>
      <c r="F97" s="68" t="str">
        <f t="shared" si="32"/>
        <v/>
      </c>
      <c r="G97" s="63" t="str">
        <f t="shared" si="29"/>
        <v/>
      </c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</row>
    <row r="98" spans="1:23" s="15" customFormat="1" ht="14.15" x14ac:dyDescent="0.35">
      <c r="A98" s="68" t="str">
        <f>IF(B98&lt;&gt;"",COUNTA($B$35:B98),"")</f>
        <v/>
      </c>
      <c r="B98" s="30"/>
      <c r="C98" s="30"/>
      <c r="D98" s="62" t="str">
        <f t="shared" si="31"/>
        <v/>
      </c>
      <c r="E98" s="68" t="str">
        <f t="shared" si="33"/>
        <v/>
      </c>
      <c r="F98" s="68" t="str">
        <f t="shared" si="32"/>
        <v/>
      </c>
      <c r="G98" s="63" t="str">
        <f t="shared" si="29"/>
        <v/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 spans="1:23" s="15" customFormat="1" ht="14.15" x14ac:dyDescent="0.35">
      <c r="A99" s="68" t="str">
        <f>IF(B99&lt;&gt;"",COUNTA($B$35:B99),"")</f>
        <v/>
      </c>
      <c r="B99" s="30"/>
      <c r="C99" s="30"/>
      <c r="D99" s="62" t="str">
        <f t="shared" si="31"/>
        <v/>
      </c>
      <c r="E99" s="68" t="str">
        <f t="shared" si="33"/>
        <v/>
      </c>
      <c r="F99" s="68" t="str">
        <f t="shared" si="32"/>
        <v/>
      </c>
      <c r="G99" s="63" t="str">
        <f t="shared" ref="G99:G162" si="34">IF(D99 = "", "", IF(D99 &gt;= 70, "FCD", IF(D99 &gt;= 60, "FC", IF(D99 &gt;= 35, "SC", ""))))</f>
        <v/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 spans="1:23" s="15" customFormat="1" ht="14.15" x14ac:dyDescent="0.35">
      <c r="A100" s="68" t="str">
        <f>IF(B100&lt;&gt;"",COUNTA($B$35:B100),"")</f>
        <v/>
      </c>
      <c r="B100" s="30"/>
      <c r="C100" s="30"/>
      <c r="D100" s="62" t="str">
        <f t="shared" si="31"/>
        <v/>
      </c>
      <c r="E100" s="68" t="str">
        <f t="shared" si="33"/>
        <v/>
      </c>
      <c r="F100" s="68" t="str">
        <f t="shared" si="32"/>
        <v/>
      </c>
      <c r="G100" s="63" t="str">
        <f t="shared" si="34"/>
        <v/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</row>
    <row r="101" spans="1:23" s="15" customFormat="1" ht="14.15" x14ac:dyDescent="0.35">
      <c r="A101" s="68" t="str">
        <f>IF(B101&lt;&gt;"",COUNTA($B$35:B101),"")</f>
        <v/>
      </c>
      <c r="B101" s="30"/>
      <c r="C101" s="30"/>
      <c r="D101" s="62" t="str">
        <f t="shared" ref="D101:D164" si="35">IF(C101="","",(SUM(H101:W101)/D$29)*100)</f>
        <v/>
      </c>
      <c r="E101" s="68" t="str">
        <f t="shared" si="33"/>
        <v/>
      </c>
      <c r="F101" s="68" t="str">
        <f t="shared" ref="F101:F164" si="36">IF(E101="Pass",G101, IF(E101="FAIL","FAIL",""))</f>
        <v/>
      </c>
      <c r="G101" s="63" t="str">
        <f t="shared" si="34"/>
        <v/>
      </c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</row>
    <row r="102" spans="1:23" s="15" customFormat="1" ht="14.15" x14ac:dyDescent="0.35">
      <c r="A102" s="68" t="str">
        <f>IF(B102&lt;&gt;"",COUNTA($B$35:B102),"")</f>
        <v/>
      </c>
      <c r="B102" s="30"/>
      <c r="C102" s="30"/>
      <c r="D102" s="62" t="str">
        <f t="shared" si="35"/>
        <v/>
      </c>
      <c r="E102" s="68" t="str">
        <f t="shared" si="33"/>
        <v/>
      </c>
      <c r="F102" s="68" t="str">
        <f t="shared" si="36"/>
        <v/>
      </c>
      <c r="G102" s="63" t="str">
        <f t="shared" si="34"/>
        <v/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</row>
    <row r="103" spans="1:23" s="15" customFormat="1" ht="14.15" x14ac:dyDescent="0.35">
      <c r="A103" s="68" t="str">
        <f>IF(B103&lt;&gt;"",COUNTA($B$35:B103),"")</f>
        <v/>
      </c>
      <c r="B103" s="30"/>
      <c r="C103" s="30"/>
      <c r="D103" s="62" t="str">
        <f t="shared" si="35"/>
        <v/>
      </c>
      <c r="E103" s="68" t="str">
        <f t="shared" si="33"/>
        <v/>
      </c>
      <c r="F103" s="68" t="str">
        <f t="shared" si="36"/>
        <v/>
      </c>
      <c r="G103" s="63" t="str">
        <f t="shared" si="34"/>
        <v/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</row>
    <row r="104" spans="1:23" s="15" customFormat="1" ht="14.15" x14ac:dyDescent="0.35">
      <c r="A104" s="68" t="str">
        <f>IF(B104&lt;&gt;"",COUNTA($B$35:B104),"")</f>
        <v/>
      </c>
      <c r="B104" s="30"/>
      <c r="C104" s="30"/>
      <c r="D104" s="62" t="str">
        <f t="shared" si="35"/>
        <v/>
      </c>
      <c r="E104" s="68" t="str">
        <f t="shared" si="33"/>
        <v/>
      </c>
      <c r="F104" s="68" t="str">
        <f t="shared" si="36"/>
        <v/>
      </c>
      <c r="G104" s="63" t="str">
        <f t="shared" si="34"/>
        <v/>
      </c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</row>
    <row r="105" spans="1:23" s="15" customFormat="1" ht="14.15" x14ac:dyDescent="0.35">
      <c r="A105" s="68" t="str">
        <f>IF(B105&lt;&gt;"",COUNTA($B$35:B105),"")</f>
        <v/>
      </c>
      <c r="B105" s="30"/>
      <c r="C105" s="30"/>
      <c r="D105" s="62" t="str">
        <f t="shared" si="35"/>
        <v/>
      </c>
      <c r="E105" s="68" t="str">
        <f t="shared" ref="E105:E168" si="37">IF(ISBLANK(B105),"",IF(OR(I105&lt;18,K105&lt;18,M105&lt;18,O105&lt;18,Q105&lt;18,S105&lt;18,U105&lt;18,W105&lt;18),"FAIL","PASS"))</f>
        <v/>
      </c>
      <c r="F105" s="68" t="str">
        <f t="shared" si="36"/>
        <v/>
      </c>
      <c r="G105" s="63" t="str">
        <f t="shared" si="34"/>
        <v/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</row>
    <row r="106" spans="1:23" s="15" customFormat="1" ht="14.15" x14ac:dyDescent="0.35">
      <c r="A106" s="68" t="str">
        <f>IF(B106&lt;&gt;"",COUNTA($B$35:B106),"")</f>
        <v/>
      </c>
      <c r="B106" s="30"/>
      <c r="C106" s="30"/>
      <c r="D106" s="62" t="str">
        <f t="shared" si="35"/>
        <v/>
      </c>
      <c r="E106" s="68" t="str">
        <f t="shared" si="37"/>
        <v/>
      </c>
      <c r="F106" s="68" t="str">
        <f t="shared" si="36"/>
        <v/>
      </c>
      <c r="G106" s="63" t="str">
        <f t="shared" si="34"/>
        <v/>
      </c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</row>
    <row r="107" spans="1:23" s="15" customFormat="1" ht="14.15" x14ac:dyDescent="0.35">
      <c r="A107" s="68" t="str">
        <f>IF(B107&lt;&gt;"",COUNTA($B$35:B107),"")</f>
        <v/>
      </c>
      <c r="B107" s="30"/>
      <c r="C107" s="30"/>
      <c r="D107" s="62" t="str">
        <f t="shared" si="35"/>
        <v/>
      </c>
      <c r="E107" s="68" t="str">
        <f t="shared" si="37"/>
        <v/>
      </c>
      <c r="F107" s="68" t="str">
        <f t="shared" si="36"/>
        <v/>
      </c>
      <c r="G107" s="63" t="str">
        <f t="shared" si="34"/>
        <v/>
      </c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</row>
    <row r="108" spans="1:23" s="15" customFormat="1" ht="14.15" x14ac:dyDescent="0.35">
      <c r="A108" s="68" t="str">
        <f>IF(B108&lt;&gt;"",COUNTA($B$35:B108),"")</f>
        <v/>
      </c>
      <c r="B108" s="30"/>
      <c r="C108" s="30"/>
      <c r="D108" s="62" t="str">
        <f t="shared" si="35"/>
        <v/>
      </c>
      <c r="E108" s="68" t="str">
        <f t="shared" si="37"/>
        <v/>
      </c>
      <c r="F108" s="68" t="str">
        <f t="shared" si="36"/>
        <v/>
      </c>
      <c r="G108" s="63" t="str">
        <f t="shared" si="34"/>
        <v/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</row>
    <row r="109" spans="1:23" s="15" customFormat="1" ht="14.15" x14ac:dyDescent="0.35">
      <c r="A109" s="68" t="str">
        <f>IF(B109&lt;&gt;"",COUNTA($B$35:B109),"")</f>
        <v/>
      </c>
      <c r="B109" s="30"/>
      <c r="C109" s="30"/>
      <c r="D109" s="62" t="str">
        <f t="shared" si="35"/>
        <v/>
      </c>
      <c r="E109" s="68" t="str">
        <f t="shared" si="37"/>
        <v/>
      </c>
      <c r="F109" s="68" t="str">
        <f t="shared" si="36"/>
        <v/>
      </c>
      <c r="G109" s="63" t="str">
        <f t="shared" si="34"/>
        <v/>
      </c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</row>
    <row r="110" spans="1:23" s="15" customFormat="1" ht="14.15" x14ac:dyDescent="0.35">
      <c r="A110" s="68" t="str">
        <f>IF(B110&lt;&gt;"",COUNTA($B$35:B110),"")</f>
        <v/>
      </c>
      <c r="B110" s="30"/>
      <c r="C110" s="30"/>
      <c r="D110" s="62" t="str">
        <f t="shared" si="35"/>
        <v/>
      </c>
      <c r="E110" s="68" t="str">
        <f t="shared" si="37"/>
        <v/>
      </c>
      <c r="F110" s="68" t="str">
        <f t="shared" si="36"/>
        <v/>
      </c>
      <c r="G110" s="63" t="str">
        <f t="shared" si="34"/>
        <v/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</row>
    <row r="111" spans="1:23" s="15" customFormat="1" ht="14.15" x14ac:dyDescent="0.35">
      <c r="A111" s="68" t="str">
        <f>IF(B111&lt;&gt;"",COUNTA($B$35:B111),"")</f>
        <v/>
      </c>
      <c r="B111" s="30"/>
      <c r="C111" s="30"/>
      <c r="D111" s="62" t="str">
        <f t="shared" si="35"/>
        <v/>
      </c>
      <c r="E111" s="68" t="str">
        <f t="shared" si="37"/>
        <v/>
      </c>
      <c r="F111" s="68" t="str">
        <f t="shared" si="36"/>
        <v/>
      </c>
      <c r="G111" s="63" t="str">
        <f t="shared" si="34"/>
        <v/>
      </c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</row>
    <row r="112" spans="1:23" s="15" customFormat="1" ht="14.15" x14ac:dyDescent="0.35">
      <c r="A112" s="68" t="str">
        <f>IF(B112&lt;&gt;"",COUNTA($B$35:B112),"")</f>
        <v/>
      </c>
      <c r="B112" s="30"/>
      <c r="C112" s="30"/>
      <c r="D112" s="62" t="str">
        <f t="shared" si="35"/>
        <v/>
      </c>
      <c r="E112" s="68" t="str">
        <f t="shared" si="37"/>
        <v/>
      </c>
      <c r="F112" s="68" t="str">
        <f t="shared" si="36"/>
        <v/>
      </c>
      <c r="G112" s="63" t="str">
        <f t="shared" si="34"/>
        <v/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</row>
    <row r="113" spans="1:23" s="15" customFormat="1" ht="14.15" x14ac:dyDescent="0.35">
      <c r="A113" s="68" t="str">
        <f>IF(B113&lt;&gt;"",COUNTA($B$35:B113),"")</f>
        <v/>
      </c>
      <c r="B113" s="30"/>
      <c r="C113" s="30"/>
      <c r="D113" s="62" t="str">
        <f t="shared" si="35"/>
        <v/>
      </c>
      <c r="E113" s="68" t="str">
        <f t="shared" si="37"/>
        <v/>
      </c>
      <c r="F113" s="68" t="str">
        <f t="shared" si="36"/>
        <v/>
      </c>
      <c r="G113" s="63" t="str">
        <f t="shared" si="34"/>
        <v/>
      </c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</row>
    <row r="114" spans="1:23" s="15" customFormat="1" ht="14.15" x14ac:dyDescent="0.35">
      <c r="A114" s="68" t="str">
        <f>IF(B114&lt;&gt;"",COUNTA($B$35:B114),"")</f>
        <v/>
      </c>
      <c r="B114" s="30"/>
      <c r="C114" s="30"/>
      <c r="D114" s="62" t="str">
        <f t="shared" si="35"/>
        <v/>
      </c>
      <c r="E114" s="68" t="str">
        <f t="shared" si="37"/>
        <v/>
      </c>
      <c r="F114" s="68" t="str">
        <f t="shared" si="36"/>
        <v/>
      </c>
      <c r="G114" s="63" t="str">
        <f t="shared" si="34"/>
        <v/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</row>
    <row r="115" spans="1:23" s="15" customFormat="1" ht="14.15" x14ac:dyDescent="0.35">
      <c r="A115" s="68" t="str">
        <f>IF(B115&lt;&gt;"",COUNTA($B$35:B115),"")</f>
        <v/>
      </c>
      <c r="B115" s="30"/>
      <c r="C115" s="30"/>
      <c r="D115" s="62" t="str">
        <f t="shared" si="35"/>
        <v/>
      </c>
      <c r="E115" s="68" t="str">
        <f t="shared" si="37"/>
        <v/>
      </c>
      <c r="F115" s="68" t="str">
        <f t="shared" si="36"/>
        <v/>
      </c>
      <c r="G115" s="63" t="str">
        <f t="shared" si="34"/>
        <v/>
      </c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</row>
    <row r="116" spans="1:23" s="15" customFormat="1" ht="14.15" x14ac:dyDescent="0.35">
      <c r="A116" s="68" t="str">
        <f>IF(B116&lt;&gt;"",COUNTA($B$35:B116),"")</f>
        <v/>
      </c>
      <c r="B116" s="30"/>
      <c r="C116" s="30"/>
      <c r="D116" s="62" t="str">
        <f t="shared" si="35"/>
        <v/>
      </c>
      <c r="E116" s="68" t="str">
        <f t="shared" si="37"/>
        <v/>
      </c>
      <c r="F116" s="68" t="str">
        <f t="shared" si="36"/>
        <v/>
      </c>
      <c r="G116" s="63" t="str">
        <f t="shared" si="34"/>
        <v/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</row>
    <row r="117" spans="1:23" s="15" customFormat="1" ht="14.15" x14ac:dyDescent="0.35">
      <c r="A117" s="68" t="str">
        <f>IF(B117&lt;&gt;"",COUNTA($B$35:B117),"")</f>
        <v/>
      </c>
      <c r="B117" s="30"/>
      <c r="C117" s="30"/>
      <c r="D117" s="62" t="str">
        <f t="shared" si="35"/>
        <v/>
      </c>
      <c r="E117" s="68" t="str">
        <f t="shared" si="37"/>
        <v/>
      </c>
      <c r="F117" s="68" t="str">
        <f t="shared" si="36"/>
        <v/>
      </c>
      <c r="G117" s="63" t="str">
        <f t="shared" si="34"/>
        <v/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</row>
    <row r="118" spans="1:23" s="15" customFormat="1" ht="14.15" x14ac:dyDescent="0.35">
      <c r="A118" s="68" t="str">
        <f>IF(B118&lt;&gt;"",COUNTA($B$35:B118),"")</f>
        <v/>
      </c>
      <c r="B118" s="30"/>
      <c r="C118" s="30"/>
      <c r="D118" s="62" t="str">
        <f t="shared" si="35"/>
        <v/>
      </c>
      <c r="E118" s="68" t="str">
        <f t="shared" si="37"/>
        <v/>
      </c>
      <c r="F118" s="68" t="str">
        <f t="shared" si="36"/>
        <v/>
      </c>
      <c r="G118" s="63" t="str">
        <f t="shared" si="34"/>
        <v/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</row>
    <row r="119" spans="1:23" s="15" customFormat="1" ht="14.15" x14ac:dyDescent="0.35">
      <c r="A119" s="68" t="str">
        <f>IF(B119&lt;&gt;"",COUNTA($B$35:B119),"")</f>
        <v/>
      </c>
      <c r="B119" s="30"/>
      <c r="C119" s="30"/>
      <c r="D119" s="62" t="str">
        <f t="shared" si="35"/>
        <v/>
      </c>
      <c r="E119" s="68" t="str">
        <f t="shared" si="37"/>
        <v/>
      </c>
      <c r="F119" s="68" t="str">
        <f t="shared" si="36"/>
        <v/>
      </c>
      <c r="G119" s="63" t="str">
        <f t="shared" si="34"/>
        <v/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</row>
    <row r="120" spans="1:23" s="15" customFormat="1" ht="14.15" x14ac:dyDescent="0.35">
      <c r="A120" s="68" t="str">
        <f>IF(B120&lt;&gt;"",COUNTA($B$35:B120),"")</f>
        <v/>
      </c>
      <c r="B120" s="30"/>
      <c r="C120" s="30"/>
      <c r="D120" s="62" t="str">
        <f t="shared" si="35"/>
        <v/>
      </c>
      <c r="E120" s="68" t="str">
        <f t="shared" si="37"/>
        <v/>
      </c>
      <c r="F120" s="68" t="str">
        <f t="shared" si="36"/>
        <v/>
      </c>
      <c r="G120" s="63" t="str">
        <f t="shared" si="34"/>
        <v/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</row>
    <row r="121" spans="1:23" s="15" customFormat="1" ht="14.15" x14ac:dyDescent="0.35">
      <c r="A121" s="68" t="str">
        <f>IF(B121&lt;&gt;"",COUNTA($B$35:B121),"")</f>
        <v/>
      </c>
      <c r="B121" s="30"/>
      <c r="C121" s="30"/>
      <c r="D121" s="62" t="str">
        <f t="shared" si="35"/>
        <v/>
      </c>
      <c r="E121" s="68" t="str">
        <f t="shared" si="37"/>
        <v/>
      </c>
      <c r="F121" s="68" t="str">
        <f t="shared" si="36"/>
        <v/>
      </c>
      <c r="G121" s="63" t="str">
        <f t="shared" si="34"/>
        <v/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</row>
    <row r="122" spans="1:23" s="15" customFormat="1" ht="14.15" x14ac:dyDescent="0.35">
      <c r="A122" s="68" t="str">
        <f>IF(B122&lt;&gt;"",COUNTA($B$35:B122),"")</f>
        <v/>
      </c>
      <c r="B122" s="30"/>
      <c r="C122" s="30"/>
      <c r="D122" s="62" t="str">
        <f t="shared" si="35"/>
        <v/>
      </c>
      <c r="E122" s="68" t="str">
        <f t="shared" si="37"/>
        <v/>
      </c>
      <c r="F122" s="68" t="str">
        <f t="shared" si="36"/>
        <v/>
      </c>
      <c r="G122" s="63" t="str">
        <f t="shared" si="34"/>
        <v/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</row>
    <row r="123" spans="1:23" s="15" customFormat="1" ht="14.15" x14ac:dyDescent="0.35">
      <c r="A123" s="68" t="str">
        <f>IF(B123&lt;&gt;"",COUNTA($B$35:B123),"")</f>
        <v/>
      </c>
      <c r="B123" s="30"/>
      <c r="C123" s="30"/>
      <c r="D123" s="62" t="str">
        <f t="shared" si="35"/>
        <v/>
      </c>
      <c r="E123" s="68" t="str">
        <f t="shared" si="37"/>
        <v/>
      </c>
      <c r="F123" s="68" t="str">
        <f t="shared" si="36"/>
        <v/>
      </c>
      <c r="G123" s="63" t="str">
        <f t="shared" si="34"/>
        <v/>
      </c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</row>
    <row r="124" spans="1:23" s="15" customFormat="1" ht="14.15" x14ac:dyDescent="0.35">
      <c r="A124" s="68" t="str">
        <f>IF(B124&lt;&gt;"",COUNTA($B$35:B124),"")</f>
        <v/>
      </c>
      <c r="B124" s="30"/>
      <c r="C124" s="30"/>
      <c r="D124" s="62" t="str">
        <f t="shared" si="35"/>
        <v/>
      </c>
      <c r="E124" s="68" t="str">
        <f t="shared" si="37"/>
        <v/>
      </c>
      <c r="F124" s="68" t="str">
        <f t="shared" si="36"/>
        <v/>
      </c>
      <c r="G124" s="63" t="str">
        <f t="shared" si="34"/>
        <v/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</row>
    <row r="125" spans="1:23" s="15" customFormat="1" ht="14.15" x14ac:dyDescent="0.35">
      <c r="A125" s="68" t="str">
        <f>IF(B125&lt;&gt;"",COUNTA($B$35:B125),"")</f>
        <v/>
      </c>
      <c r="B125" s="30"/>
      <c r="C125" s="30"/>
      <c r="D125" s="62" t="str">
        <f t="shared" si="35"/>
        <v/>
      </c>
      <c r="E125" s="68" t="str">
        <f t="shared" si="37"/>
        <v/>
      </c>
      <c r="F125" s="68" t="str">
        <f t="shared" si="36"/>
        <v/>
      </c>
      <c r="G125" s="63" t="str">
        <f t="shared" si="34"/>
        <v/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</row>
    <row r="126" spans="1:23" s="15" customFormat="1" ht="14.15" x14ac:dyDescent="0.35">
      <c r="A126" s="68" t="str">
        <f>IF(B126&lt;&gt;"",COUNTA($B$35:B126),"")</f>
        <v/>
      </c>
      <c r="B126" s="30"/>
      <c r="C126" s="30"/>
      <c r="D126" s="62" t="str">
        <f t="shared" si="35"/>
        <v/>
      </c>
      <c r="E126" s="68" t="str">
        <f t="shared" si="37"/>
        <v/>
      </c>
      <c r="F126" s="68" t="str">
        <f t="shared" si="36"/>
        <v/>
      </c>
      <c r="G126" s="63" t="str">
        <f t="shared" si="34"/>
        <v/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 spans="1:23" s="15" customFormat="1" ht="14.15" x14ac:dyDescent="0.35">
      <c r="A127" s="68" t="str">
        <f>IF(B127&lt;&gt;"",COUNTA($B$35:B127),"")</f>
        <v/>
      </c>
      <c r="B127" s="30"/>
      <c r="C127" s="30"/>
      <c r="D127" s="62" t="str">
        <f t="shared" si="35"/>
        <v/>
      </c>
      <c r="E127" s="68" t="str">
        <f t="shared" si="37"/>
        <v/>
      </c>
      <c r="F127" s="68" t="str">
        <f t="shared" si="36"/>
        <v/>
      </c>
      <c r="G127" s="63" t="str">
        <f t="shared" si="34"/>
        <v/>
      </c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</row>
    <row r="128" spans="1:23" s="15" customFormat="1" ht="14.15" x14ac:dyDescent="0.35">
      <c r="A128" s="68" t="str">
        <f>IF(B128&lt;&gt;"",COUNTA($B$35:B128),"")</f>
        <v/>
      </c>
      <c r="B128" s="30"/>
      <c r="C128" s="30"/>
      <c r="D128" s="62" t="str">
        <f t="shared" si="35"/>
        <v/>
      </c>
      <c r="E128" s="68" t="str">
        <f t="shared" si="37"/>
        <v/>
      </c>
      <c r="F128" s="68" t="str">
        <f t="shared" si="36"/>
        <v/>
      </c>
      <c r="G128" s="63" t="str">
        <f t="shared" si="34"/>
        <v/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29" spans="1:23" s="15" customFormat="1" ht="14.15" x14ac:dyDescent="0.35">
      <c r="A129" s="68" t="str">
        <f>IF(B129&lt;&gt;"",COUNTA($B$35:B129),"")</f>
        <v/>
      </c>
      <c r="B129" s="30"/>
      <c r="C129" s="30"/>
      <c r="D129" s="62" t="str">
        <f t="shared" si="35"/>
        <v/>
      </c>
      <c r="E129" s="68" t="str">
        <f t="shared" si="37"/>
        <v/>
      </c>
      <c r="F129" s="68" t="str">
        <f t="shared" si="36"/>
        <v/>
      </c>
      <c r="G129" s="63" t="str">
        <f t="shared" si="34"/>
        <v/>
      </c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</row>
    <row r="130" spans="1:23" s="15" customFormat="1" ht="14.15" x14ac:dyDescent="0.35">
      <c r="A130" s="68" t="str">
        <f>IF(B130&lt;&gt;"",COUNTA($B$35:B130),"")</f>
        <v/>
      </c>
      <c r="B130" s="30"/>
      <c r="C130" s="30"/>
      <c r="D130" s="62" t="str">
        <f t="shared" si="35"/>
        <v/>
      </c>
      <c r="E130" s="68" t="str">
        <f t="shared" si="37"/>
        <v/>
      </c>
      <c r="F130" s="68" t="str">
        <f t="shared" si="36"/>
        <v/>
      </c>
      <c r="G130" s="63" t="str">
        <f t="shared" si="34"/>
        <v/>
      </c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 spans="1:23" s="15" customFormat="1" ht="14.15" x14ac:dyDescent="0.35">
      <c r="A131" s="68" t="str">
        <f>IF(B131&lt;&gt;"",COUNTA($B$35:B131),"")</f>
        <v/>
      </c>
      <c r="B131" s="30"/>
      <c r="C131" s="30"/>
      <c r="D131" s="62" t="str">
        <f t="shared" si="35"/>
        <v/>
      </c>
      <c r="E131" s="68" t="str">
        <f t="shared" si="37"/>
        <v/>
      </c>
      <c r="F131" s="68" t="str">
        <f t="shared" si="36"/>
        <v/>
      </c>
      <c r="G131" s="63" t="str">
        <f t="shared" si="34"/>
        <v/>
      </c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</row>
    <row r="132" spans="1:23" s="15" customFormat="1" ht="14.15" x14ac:dyDescent="0.35">
      <c r="A132" s="68" t="str">
        <f>IF(B132&lt;&gt;"",COUNTA($B$35:B132),"")</f>
        <v/>
      </c>
      <c r="B132" s="30"/>
      <c r="C132" s="30"/>
      <c r="D132" s="62" t="str">
        <f t="shared" si="35"/>
        <v/>
      </c>
      <c r="E132" s="68" t="str">
        <f t="shared" si="37"/>
        <v/>
      </c>
      <c r="F132" s="68" t="str">
        <f t="shared" si="36"/>
        <v/>
      </c>
      <c r="G132" s="63" t="str">
        <f t="shared" si="34"/>
        <v/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</row>
    <row r="133" spans="1:23" s="15" customFormat="1" ht="14.15" x14ac:dyDescent="0.35">
      <c r="A133" s="68" t="str">
        <f>IF(B133&lt;&gt;"",COUNTA($B$35:B133),"")</f>
        <v/>
      </c>
      <c r="B133" s="30"/>
      <c r="C133" s="30"/>
      <c r="D133" s="62" t="str">
        <f t="shared" si="35"/>
        <v/>
      </c>
      <c r="E133" s="68" t="str">
        <f t="shared" si="37"/>
        <v/>
      </c>
      <c r="F133" s="68" t="str">
        <f t="shared" si="36"/>
        <v/>
      </c>
      <c r="G133" s="63" t="str">
        <f t="shared" si="34"/>
        <v/>
      </c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</row>
    <row r="134" spans="1:23" s="15" customFormat="1" ht="14.15" x14ac:dyDescent="0.35">
      <c r="A134" s="68" t="str">
        <f>IF(B134&lt;&gt;"",COUNTA($B$35:B134),"")</f>
        <v/>
      </c>
      <c r="B134" s="30"/>
      <c r="C134" s="30"/>
      <c r="D134" s="62" t="str">
        <f t="shared" si="35"/>
        <v/>
      </c>
      <c r="E134" s="68" t="str">
        <f t="shared" si="37"/>
        <v/>
      </c>
      <c r="F134" s="68" t="str">
        <f t="shared" si="36"/>
        <v/>
      </c>
      <c r="G134" s="63" t="str">
        <f t="shared" si="34"/>
        <v/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</row>
    <row r="135" spans="1:23" s="15" customFormat="1" ht="14.15" x14ac:dyDescent="0.35">
      <c r="A135" s="68" t="str">
        <f>IF(B135&lt;&gt;"",COUNTA($B$35:B135),"")</f>
        <v/>
      </c>
      <c r="B135" s="30"/>
      <c r="C135" s="30"/>
      <c r="D135" s="62" t="str">
        <f t="shared" si="35"/>
        <v/>
      </c>
      <c r="E135" s="68" t="str">
        <f t="shared" si="37"/>
        <v/>
      </c>
      <c r="F135" s="68" t="str">
        <f t="shared" si="36"/>
        <v/>
      </c>
      <c r="G135" s="63" t="str">
        <f t="shared" si="34"/>
        <v/>
      </c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</row>
    <row r="136" spans="1:23" s="15" customFormat="1" ht="14.15" x14ac:dyDescent="0.35">
      <c r="A136" s="68" t="str">
        <f>IF(B136&lt;&gt;"",COUNTA($B$35:B136),"")</f>
        <v/>
      </c>
      <c r="B136" s="30"/>
      <c r="C136" s="30"/>
      <c r="D136" s="62" t="str">
        <f t="shared" si="35"/>
        <v/>
      </c>
      <c r="E136" s="68" t="str">
        <f t="shared" si="37"/>
        <v/>
      </c>
      <c r="F136" s="68" t="str">
        <f t="shared" si="36"/>
        <v/>
      </c>
      <c r="G136" s="63" t="str">
        <f t="shared" si="34"/>
        <v/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</row>
    <row r="137" spans="1:23" s="15" customFormat="1" ht="14.15" x14ac:dyDescent="0.35">
      <c r="A137" s="68" t="str">
        <f>IF(B137&lt;&gt;"",COUNTA($B$35:B137),"")</f>
        <v/>
      </c>
      <c r="B137" s="30"/>
      <c r="C137" s="30"/>
      <c r="D137" s="62" t="str">
        <f t="shared" si="35"/>
        <v/>
      </c>
      <c r="E137" s="68" t="str">
        <f t="shared" si="37"/>
        <v/>
      </c>
      <c r="F137" s="68" t="str">
        <f t="shared" si="36"/>
        <v/>
      </c>
      <c r="G137" s="63" t="str">
        <f t="shared" si="34"/>
        <v/>
      </c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</row>
    <row r="138" spans="1:23" s="15" customFormat="1" ht="14.15" x14ac:dyDescent="0.35">
      <c r="A138" s="68" t="str">
        <f>IF(B138&lt;&gt;"",COUNTA($B$35:B138),"")</f>
        <v/>
      </c>
      <c r="B138" s="30"/>
      <c r="C138" s="30"/>
      <c r="D138" s="62" t="str">
        <f t="shared" si="35"/>
        <v/>
      </c>
      <c r="E138" s="68" t="str">
        <f t="shared" si="37"/>
        <v/>
      </c>
      <c r="F138" s="68" t="str">
        <f t="shared" si="36"/>
        <v/>
      </c>
      <c r="G138" s="63" t="str">
        <f t="shared" si="34"/>
        <v/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</row>
    <row r="139" spans="1:23" s="15" customFormat="1" ht="14.15" x14ac:dyDescent="0.35">
      <c r="A139" s="68" t="str">
        <f>IF(B139&lt;&gt;"",COUNTA($B$35:B139),"")</f>
        <v/>
      </c>
      <c r="B139" s="30"/>
      <c r="C139" s="30"/>
      <c r="D139" s="62" t="str">
        <f t="shared" si="35"/>
        <v/>
      </c>
      <c r="E139" s="68" t="str">
        <f t="shared" si="37"/>
        <v/>
      </c>
      <c r="F139" s="68" t="str">
        <f t="shared" si="36"/>
        <v/>
      </c>
      <c r="G139" s="63" t="str">
        <f t="shared" si="34"/>
        <v/>
      </c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 spans="1:23" s="15" customFormat="1" ht="14.15" x14ac:dyDescent="0.35">
      <c r="A140" s="68" t="str">
        <f>IF(B140&lt;&gt;"",COUNTA($B$35:B140),"")</f>
        <v/>
      </c>
      <c r="B140" s="30"/>
      <c r="C140" s="30"/>
      <c r="D140" s="62" t="str">
        <f t="shared" si="35"/>
        <v/>
      </c>
      <c r="E140" s="68" t="str">
        <f t="shared" si="37"/>
        <v/>
      </c>
      <c r="F140" s="68" t="str">
        <f t="shared" si="36"/>
        <v/>
      </c>
      <c r="G140" s="63" t="str">
        <f t="shared" si="34"/>
        <v/>
      </c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</row>
    <row r="141" spans="1:23" s="15" customFormat="1" ht="14.15" x14ac:dyDescent="0.35">
      <c r="A141" s="68" t="str">
        <f>IF(B141&lt;&gt;"",COUNTA($B$35:B141),"")</f>
        <v/>
      </c>
      <c r="B141" s="30"/>
      <c r="C141" s="30"/>
      <c r="D141" s="62" t="str">
        <f t="shared" si="35"/>
        <v/>
      </c>
      <c r="E141" s="68" t="str">
        <f t="shared" si="37"/>
        <v/>
      </c>
      <c r="F141" s="68" t="str">
        <f t="shared" si="36"/>
        <v/>
      </c>
      <c r="G141" s="63" t="str">
        <f t="shared" si="34"/>
        <v/>
      </c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</row>
    <row r="142" spans="1:23" s="15" customFormat="1" ht="14.15" x14ac:dyDescent="0.35">
      <c r="A142" s="68" t="str">
        <f>IF(B142&lt;&gt;"",COUNTA($B$35:B142),"")</f>
        <v/>
      </c>
      <c r="B142" s="30"/>
      <c r="C142" s="30"/>
      <c r="D142" s="62" t="str">
        <f t="shared" si="35"/>
        <v/>
      </c>
      <c r="E142" s="68" t="str">
        <f t="shared" si="37"/>
        <v/>
      </c>
      <c r="F142" s="68" t="str">
        <f t="shared" si="36"/>
        <v/>
      </c>
      <c r="G142" s="63" t="str">
        <f t="shared" si="34"/>
        <v/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</row>
    <row r="143" spans="1:23" s="15" customFormat="1" ht="14.15" x14ac:dyDescent="0.35">
      <c r="A143" s="68" t="str">
        <f>IF(B143&lt;&gt;"",COUNTA($B$35:B143),"")</f>
        <v/>
      </c>
      <c r="B143" s="30"/>
      <c r="C143" s="30"/>
      <c r="D143" s="62" t="str">
        <f t="shared" si="35"/>
        <v/>
      </c>
      <c r="E143" s="68" t="str">
        <f t="shared" si="37"/>
        <v/>
      </c>
      <c r="F143" s="68" t="str">
        <f t="shared" si="36"/>
        <v/>
      </c>
      <c r="G143" s="63" t="str">
        <f t="shared" si="34"/>
        <v/>
      </c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</row>
    <row r="144" spans="1:23" s="15" customFormat="1" ht="14.15" x14ac:dyDescent="0.35">
      <c r="A144" s="68" t="str">
        <f>IF(B144&lt;&gt;"",COUNTA($B$35:B144),"")</f>
        <v/>
      </c>
      <c r="B144" s="30"/>
      <c r="C144" s="30"/>
      <c r="D144" s="62" t="str">
        <f t="shared" si="35"/>
        <v/>
      </c>
      <c r="E144" s="68" t="str">
        <f t="shared" si="37"/>
        <v/>
      </c>
      <c r="F144" s="68" t="str">
        <f t="shared" si="36"/>
        <v/>
      </c>
      <c r="G144" s="63" t="str">
        <f t="shared" si="34"/>
        <v/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</row>
    <row r="145" spans="1:23" s="15" customFormat="1" ht="14.15" x14ac:dyDescent="0.35">
      <c r="A145" s="68" t="str">
        <f>IF(B145&lt;&gt;"",COUNTA($B$35:B145),"")</f>
        <v/>
      </c>
      <c r="B145" s="30"/>
      <c r="C145" s="30"/>
      <c r="D145" s="62" t="str">
        <f t="shared" si="35"/>
        <v/>
      </c>
      <c r="E145" s="68" t="str">
        <f t="shared" si="37"/>
        <v/>
      </c>
      <c r="F145" s="68" t="str">
        <f t="shared" si="36"/>
        <v/>
      </c>
      <c r="G145" s="63" t="str">
        <f t="shared" si="34"/>
        <v/>
      </c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</row>
    <row r="146" spans="1:23" s="15" customFormat="1" ht="14.15" x14ac:dyDescent="0.35">
      <c r="A146" s="68" t="str">
        <f>IF(B146&lt;&gt;"",COUNTA($B$35:B146),"")</f>
        <v/>
      </c>
      <c r="B146" s="30"/>
      <c r="C146" s="30"/>
      <c r="D146" s="62" t="str">
        <f t="shared" si="35"/>
        <v/>
      </c>
      <c r="E146" s="68" t="str">
        <f t="shared" si="37"/>
        <v/>
      </c>
      <c r="F146" s="68" t="str">
        <f t="shared" si="36"/>
        <v/>
      </c>
      <c r="G146" s="63" t="str">
        <f t="shared" si="34"/>
        <v/>
      </c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</row>
    <row r="147" spans="1:23" s="15" customFormat="1" ht="14.15" x14ac:dyDescent="0.35">
      <c r="A147" s="68" t="str">
        <f>IF(B147&lt;&gt;"",COUNTA($B$35:B147),"")</f>
        <v/>
      </c>
      <c r="B147" s="30"/>
      <c r="C147" s="30"/>
      <c r="D147" s="62" t="str">
        <f t="shared" si="35"/>
        <v/>
      </c>
      <c r="E147" s="68" t="str">
        <f t="shared" si="37"/>
        <v/>
      </c>
      <c r="F147" s="68" t="str">
        <f t="shared" si="36"/>
        <v/>
      </c>
      <c r="G147" s="63" t="str">
        <f t="shared" si="34"/>
        <v/>
      </c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</row>
    <row r="148" spans="1:23" s="15" customFormat="1" ht="14.15" x14ac:dyDescent="0.35">
      <c r="A148" s="68" t="str">
        <f>IF(B148&lt;&gt;"",COUNTA($B$35:B148),"")</f>
        <v/>
      </c>
      <c r="B148" s="30"/>
      <c r="C148" s="30"/>
      <c r="D148" s="62" t="str">
        <f t="shared" si="35"/>
        <v/>
      </c>
      <c r="E148" s="68" t="str">
        <f t="shared" si="37"/>
        <v/>
      </c>
      <c r="F148" s="68" t="str">
        <f t="shared" si="36"/>
        <v/>
      </c>
      <c r="G148" s="63" t="str">
        <f t="shared" si="34"/>
        <v/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</row>
    <row r="149" spans="1:23" s="15" customFormat="1" ht="14.15" x14ac:dyDescent="0.35">
      <c r="A149" s="68" t="str">
        <f>IF(B149&lt;&gt;"",COUNTA($B$35:B149),"")</f>
        <v/>
      </c>
      <c r="B149" s="30"/>
      <c r="C149" s="30"/>
      <c r="D149" s="62" t="str">
        <f t="shared" si="35"/>
        <v/>
      </c>
      <c r="E149" s="68" t="str">
        <f t="shared" si="37"/>
        <v/>
      </c>
      <c r="F149" s="68" t="str">
        <f t="shared" si="36"/>
        <v/>
      </c>
      <c r="G149" s="63" t="str">
        <f t="shared" si="34"/>
        <v/>
      </c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</row>
    <row r="150" spans="1:23" s="15" customFormat="1" ht="14.15" x14ac:dyDescent="0.35">
      <c r="A150" s="68" t="str">
        <f>IF(B150&lt;&gt;"",COUNTA($B$35:B150),"")</f>
        <v/>
      </c>
      <c r="B150" s="30"/>
      <c r="C150" s="30"/>
      <c r="D150" s="62" t="str">
        <f t="shared" si="35"/>
        <v/>
      </c>
      <c r="E150" s="68" t="str">
        <f t="shared" si="37"/>
        <v/>
      </c>
      <c r="F150" s="68" t="str">
        <f t="shared" si="36"/>
        <v/>
      </c>
      <c r="G150" s="63" t="str">
        <f t="shared" si="34"/>
        <v/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</row>
    <row r="151" spans="1:23" s="15" customFormat="1" ht="14.15" x14ac:dyDescent="0.35">
      <c r="A151" s="68" t="str">
        <f>IF(B151&lt;&gt;"",COUNTA($B$35:B151),"")</f>
        <v/>
      </c>
      <c r="B151" s="30"/>
      <c r="C151" s="30"/>
      <c r="D151" s="62" t="str">
        <f t="shared" si="35"/>
        <v/>
      </c>
      <c r="E151" s="68" t="str">
        <f t="shared" si="37"/>
        <v/>
      </c>
      <c r="F151" s="68" t="str">
        <f t="shared" si="36"/>
        <v/>
      </c>
      <c r="G151" s="63" t="str">
        <f t="shared" si="34"/>
        <v/>
      </c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 spans="1:23" s="15" customFormat="1" ht="14.15" x14ac:dyDescent="0.35">
      <c r="A152" s="68" t="str">
        <f>IF(B152&lt;&gt;"",COUNTA($B$35:B152),"")</f>
        <v/>
      </c>
      <c r="B152" s="30"/>
      <c r="C152" s="30"/>
      <c r="D152" s="62" t="str">
        <f t="shared" si="35"/>
        <v/>
      </c>
      <c r="E152" s="68" t="str">
        <f t="shared" si="37"/>
        <v/>
      </c>
      <c r="F152" s="68" t="str">
        <f t="shared" si="36"/>
        <v/>
      </c>
      <c r="G152" s="63" t="str">
        <f t="shared" si="34"/>
        <v/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</row>
    <row r="153" spans="1:23" s="15" customFormat="1" ht="14.15" x14ac:dyDescent="0.35">
      <c r="A153" s="68" t="str">
        <f>IF(B153&lt;&gt;"",COUNTA($B$35:B153),"")</f>
        <v/>
      </c>
      <c r="B153" s="30"/>
      <c r="C153" s="30"/>
      <c r="D153" s="62" t="str">
        <f t="shared" si="35"/>
        <v/>
      </c>
      <c r="E153" s="68" t="str">
        <f t="shared" si="37"/>
        <v/>
      </c>
      <c r="F153" s="68" t="str">
        <f t="shared" si="36"/>
        <v/>
      </c>
      <c r="G153" s="63" t="str">
        <f t="shared" si="34"/>
        <v/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</row>
    <row r="154" spans="1:23" s="15" customFormat="1" ht="14.15" x14ac:dyDescent="0.35">
      <c r="A154" s="68" t="str">
        <f>IF(B154&lt;&gt;"",COUNTA($B$35:B154),"")</f>
        <v/>
      </c>
      <c r="B154" s="30"/>
      <c r="C154" s="30"/>
      <c r="D154" s="62" t="str">
        <f t="shared" si="35"/>
        <v/>
      </c>
      <c r="E154" s="68" t="str">
        <f t="shared" si="37"/>
        <v/>
      </c>
      <c r="F154" s="68" t="str">
        <f t="shared" si="36"/>
        <v/>
      </c>
      <c r="G154" s="63" t="str">
        <f t="shared" si="34"/>
        <v/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 spans="1:23" s="15" customFormat="1" ht="14.15" x14ac:dyDescent="0.35">
      <c r="A155" s="68" t="str">
        <f>IF(B155&lt;&gt;"",COUNTA($B$35:B155),"")</f>
        <v/>
      </c>
      <c r="B155" s="30"/>
      <c r="C155" s="30"/>
      <c r="D155" s="62" t="str">
        <f t="shared" si="35"/>
        <v/>
      </c>
      <c r="E155" s="68" t="str">
        <f t="shared" si="37"/>
        <v/>
      </c>
      <c r="F155" s="68" t="str">
        <f t="shared" si="36"/>
        <v/>
      </c>
      <c r="G155" s="63" t="str">
        <f t="shared" si="34"/>
        <v/>
      </c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</row>
    <row r="156" spans="1:23" s="15" customFormat="1" ht="14.15" x14ac:dyDescent="0.35">
      <c r="A156" s="68" t="str">
        <f>IF(B156&lt;&gt;"",COUNTA($B$35:B156),"")</f>
        <v/>
      </c>
      <c r="B156" s="30"/>
      <c r="C156" s="30"/>
      <c r="D156" s="62" t="str">
        <f t="shared" si="35"/>
        <v/>
      </c>
      <c r="E156" s="68" t="str">
        <f t="shared" si="37"/>
        <v/>
      </c>
      <c r="F156" s="68" t="str">
        <f t="shared" si="36"/>
        <v/>
      </c>
      <c r="G156" s="63" t="str">
        <f t="shared" si="34"/>
        <v/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</row>
    <row r="157" spans="1:23" s="15" customFormat="1" ht="14.15" x14ac:dyDescent="0.35">
      <c r="A157" s="68" t="str">
        <f>IF(B157&lt;&gt;"",COUNTA($B$35:B157),"")</f>
        <v/>
      </c>
      <c r="B157" s="30"/>
      <c r="C157" s="30"/>
      <c r="D157" s="62" t="str">
        <f t="shared" si="35"/>
        <v/>
      </c>
      <c r="E157" s="68" t="str">
        <f t="shared" si="37"/>
        <v/>
      </c>
      <c r="F157" s="68" t="str">
        <f t="shared" si="36"/>
        <v/>
      </c>
      <c r="G157" s="63" t="str">
        <f t="shared" si="34"/>
        <v/>
      </c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</row>
    <row r="158" spans="1:23" s="15" customFormat="1" ht="14.15" x14ac:dyDescent="0.35">
      <c r="A158" s="68" t="str">
        <f>IF(B158&lt;&gt;"",COUNTA($B$35:B158),"")</f>
        <v/>
      </c>
      <c r="B158" s="30"/>
      <c r="C158" s="30"/>
      <c r="D158" s="62" t="str">
        <f t="shared" si="35"/>
        <v/>
      </c>
      <c r="E158" s="68" t="str">
        <f t="shared" si="37"/>
        <v/>
      </c>
      <c r="F158" s="68" t="str">
        <f t="shared" si="36"/>
        <v/>
      </c>
      <c r="G158" s="63" t="str">
        <f t="shared" si="34"/>
        <v/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</row>
    <row r="159" spans="1:23" s="15" customFormat="1" ht="14.15" x14ac:dyDescent="0.35">
      <c r="A159" s="68" t="str">
        <f>IF(B159&lt;&gt;"",COUNTA($B$35:B159),"")</f>
        <v/>
      </c>
      <c r="B159" s="30"/>
      <c r="C159" s="30"/>
      <c r="D159" s="62" t="str">
        <f t="shared" si="35"/>
        <v/>
      </c>
      <c r="E159" s="68" t="str">
        <f t="shared" si="37"/>
        <v/>
      </c>
      <c r="F159" s="68" t="str">
        <f t="shared" si="36"/>
        <v/>
      </c>
      <c r="G159" s="63" t="str">
        <f t="shared" si="34"/>
        <v/>
      </c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</row>
    <row r="160" spans="1:23" s="15" customFormat="1" ht="14.15" x14ac:dyDescent="0.35">
      <c r="A160" s="68" t="str">
        <f>IF(B160&lt;&gt;"",COUNTA($B$35:B160),"")</f>
        <v/>
      </c>
      <c r="B160" s="30"/>
      <c r="C160" s="30"/>
      <c r="D160" s="62" t="str">
        <f t="shared" si="35"/>
        <v/>
      </c>
      <c r="E160" s="68" t="str">
        <f t="shared" si="37"/>
        <v/>
      </c>
      <c r="F160" s="68" t="str">
        <f t="shared" si="36"/>
        <v/>
      </c>
      <c r="G160" s="63" t="str">
        <f t="shared" si="34"/>
        <v/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</row>
    <row r="161" spans="1:23" s="15" customFormat="1" ht="14.15" x14ac:dyDescent="0.35">
      <c r="A161" s="68" t="str">
        <f>IF(B161&lt;&gt;"",COUNTA($B$35:B161),"")</f>
        <v/>
      </c>
      <c r="B161" s="30"/>
      <c r="C161" s="30"/>
      <c r="D161" s="62" t="str">
        <f t="shared" si="35"/>
        <v/>
      </c>
      <c r="E161" s="68" t="str">
        <f t="shared" si="37"/>
        <v/>
      </c>
      <c r="F161" s="68" t="str">
        <f t="shared" si="36"/>
        <v/>
      </c>
      <c r="G161" s="63" t="str">
        <f t="shared" si="34"/>
        <v/>
      </c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</row>
    <row r="162" spans="1:23" s="15" customFormat="1" ht="14.15" x14ac:dyDescent="0.35">
      <c r="A162" s="68" t="str">
        <f>IF(B162&lt;&gt;"",COUNTA($B$35:B162),"")</f>
        <v/>
      </c>
      <c r="B162" s="30"/>
      <c r="C162" s="30"/>
      <c r="D162" s="62" t="str">
        <f t="shared" si="35"/>
        <v/>
      </c>
      <c r="E162" s="68" t="str">
        <f t="shared" si="37"/>
        <v/>
      </c>
      <c r="F162" s="68" t="str">
        <f t="shared" si="36"/>
        <v/>
      </c>
      <c r="G162" s="63" t="str">
        <f t="shared" si="34"/>
        <v/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</row>
    <row r="163" spans="1:23" s="15" customFormat="1" ht="14.15" x14ac:dyDescent="0.35">
      <c r="A163" s="68" t="str">
        <f>IF(B163&lt;&gt;"",COUNTA($B$35:B163),"")</f>
        <v/>
      </c>
      <c r="B163" s="30"/>
      <c r="C163" s="30"/>
      <c r="D163" s="62" t="str">
        <f t="shared" si="35"/>
        <v/>
      </c>
      <c r="E163" s="68" t="str">
        <f t="shared" si="37"/>
        <v/>
      </c>
      <c r="F163" s="68" t="str">
        <f t="shared" si="36"/>
        <v/>
      </c>
      <c r="G163" s="63" t="str">
        <f t="shared" ref="G163:G226" si="38">IF(D163 = "", "", IF(D163 &gt;= 70, "FCD", IF(D163 &gt;= 60, "FC", IF(D163 &gt;= 35, "SC", ""))))</f>
        <v/>
      </c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</row>
    <row r="164" spans="1:23" s="15" customFormat="1" ht="14.15" x14ac:dyDescent="0.35">
      <c r="A164" s="68" t="str">
        <f>IF(B164&lt;&gt;"",COUNTA($B$35:B164),"")</f>
        <v/>
      </c>
      <c r="B164" s="30"/>
      <c r="C164" s="30"/>
      <c r="D164" s="62" t="str">
        <f t="shared" si="35"/>
        <v/>
      </c>
      <c r="E164" s="68" t="str">
        <f t="shared" si="37"/>
        <v/>
      </c>
      <c r="F164" s="68" t="str">
        <f t="shared" si="36"/>
        <v/>
      </c>
      <c r="G164" s="63" t="str">
        <f t="shared" si="38"/>
        <v/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</row>
    <row r="165" spans="1:23" s="15" customFormat="1" ht="14.15" x14ac:dyDescent="0.35">
      <c r="A165" s="68" t="str">
        <f>IF(B165&lt;&gt;"",COUNTA($B$35:B165),"")</f>
        <v/>
      </c>
      <c r="B165" s="30"/>
      <c r="C165" s="30"/>
      <c r="D165" s="62" t="str">
        <f t="shared" ref="D165:D228" si="39">IF(C165="","",(SUM(H165:W165)/D$29)*100)</f>
        <v/>
      </c>
      <c r="E165" s="68" t="str">
        <f t="shared" si="37"/>
        <v/>
      </c>
      <c r="F165" s="68" t="str">
        <f t="shared" ref="F165:F228" si="40">IF(E165="Pass",G165, IF(E165="FAIL","FAIL",""))</f>
        <v/>
      </c>
      <c r="G165" s="63" t="str">
        <f t="shared" si="38"/>
        <v/>
      </c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</row>
    <row r="166" spans="1:23" s="15" customFormat="1" ht="14.15" x14ac:dyDescent="0.35">
      <c r="A166" s="68" t="str">
        <f>IF(B166&lt;&gt;"",COUNTA($B$35:B166),"")</f>
        <v/>
      </c>
      <c r="B166" s="30"/>
      <c r="C166" s="30"/>
      <c r="D166" s="62" t="str">
        <f t="shared" si="39"/>
        <v/>
      </c>
      <c r="E166" s="68" t="str">
        <f t="shared" si="37"/>
        <v/>
      </c>
      <c r="F166" s="68" t="str">
        <f t="shared" si="40"/>
        <v/>
      </c>
      <c r="G166" s="63" t="str">
        <f t="shared" si="38"/>
        <v/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</row>
    <row r="167" spans="1:23" s="15" customFormat="1" ht="14.15" x14ac:dyDescent="0.35">
      <c r="A167" s="68" t="str">
        <f>IF(B167&lt;&gt;"",COUNTA($B$35:B167),"")</f>
        <v/>
      </c>
      <c r="B167" s="30"/>
      <c r="C167" s="30"/>
      <c r="D167" s="62" t="str">
        <f t="shared" si="39"/>
        <v/>
      </c>
      <c r="E167" s="68" t="str">
        <f t="shared" si="37"/>
        <v/>
      </c>
      <c r="F167" s="68" t="str">
        <f t="shared" si="40"/>
        <v/>
      </c>
      <c r="G167" s="63" t="str">
        <f t="shared" si="38"/>
        <v/>
      </c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</row>
    <row r="168" spans="1:23" s="15" customFormat="1" ht="14.15" x14ac:dyDescent="0.35">
      <c r="A168" s="68" t="str">
        <f>IF(B168&lt;&gt;"",COUNTA($B$35:B168),"")</f>
        <v/>
      </c>
      <c r="B168" s="30"/>
      <c r="C168" s="30"/>
      <c r="D168" s="62" t="str">
        <f t="shared" si="39"/>
        <v/>
      </c>
      <c r="E168" s="68" t="str">
        <f t="shared" si="37"/>
        <v/>
      </c>
      <c r="F168" s="68" t="str">
        <f t="shared" si="40"/>
        <v/>
      </c>
      <c r="G168" s="63" t="str">
        <f t="shared" si="38"/>
        <v/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</row>
    <row r="169" spans="1:23" s="15" customFormat="1" ht="14.15" x14ac:dyDescent="0.35">
      <c r="A169" s="68" t="str">
        <f>IF(B169&lt;&gt;"",COUNTA($B$35:B169),"")</f>
        <v/>
      </c>
      <c r="B169" s="30"/>
      <c r="C169" s="30"/>
      <c r="D169" s="62" t="str">
        <f t="shared" si="39"/>
        <v/>
      </c>
      <c r="E169" s="68" t="str">
        <f t="shared" ref="E169:E232" si="41">IF(ISBLANK(B169),"",IF(OR(I169&lt;18,K169&lt;18,M169&lt;18,O169&lt;18,Q169&lt;18,S169&lt;18,U169&lt;18,W169&lt;18),"FAIL","PASS"))</f>
        <v/>
      </c>
      <c r="F169" s="68" t="str">
        <f t="shared" si="40"/>
        <v/>
      </c>
      <c r="G169" s="63" t="str">
        <f t="shared" si="38"/>
        <v/>
      </c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</row>
    <row r="170" spans="1:23" s="15" customFormat="1" ht="14.15" x14ac:dyDescent="0.35">
      <c r="A170" s="68" t="str">
        <f>IF(B170&lt;&gt;"",COUNTA($B$35:B170),"")</f>
        <v/>
      </c>
      <c r="B170" s="30"/>
      <c r="C170" s="30"/>
      <c r="D170" s="62" t="str">
        <f t="shared" si="39"/>
        <v/>
      </c>
      <c r="E170" s="68" t="str">
        <f t="shared" si="41"/>
        <v/>
      </c>
      <c r="F170" s="68" t="str">
        <f t="shared" si="40"/>
        <v/>
      </c>
      <c r="G170" s="63" t="str">
        <f t="shared" si="38"/>
        <v/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</row>
    <row r="171" spans="1:23" s="15" customFormat="1" ht="14.15" x14ac:dyDescent="0.35">
      <c r="A171" s="68" t="str">
        <f>IF(B171&lt;&gt;"",COUNTA($B$35:B171),"")</f>
        <v/>
      </c>
      <c r="B171" s="30"/>
      <c r="C171" s="30"/>
      <c r="D171" s="62" t="str">
        <f t="shared" si="39"/>
        <v/>
      </c>
      <c r="E171" s="68" t="str">
        <f t="shared" si="41"/>
        <v/>
      </c>
      <c r="F171" s="68" t="str">
        <f t="shared" si="40"/>
        <v/>
      </c>
      <c r="G171" s="63" t="str">
        <f t="shared" si="38"/>
        <v/>
      </c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2" spans="1:23" s="15" customFormat="1" ht="14.15" x14ac:dyDescent="0.35">
      <c r="A172" s="68" t="str">
        <f>IF(B172&lt;&gt;"",COUNTA($B$35:B172),"")</f>
        <v/>
      </c>
      <c r="B172" s="30"/>
      <c r="C172" s="30"/>
      <c r="D172" s="62" t="str">
        <f t="shared" si="39"/>
        <v/>
      </c>
      <c r="E172" s="68" t="str">
        <f t="shared" si="41"/>
        <v/>
      </c>
      <c r="F172" s="68" t="str">
        <f t="shared" si="40"/>
        <v/>
      </c>
      <c r="G172" s="63" t="str">
        <f t="shared" si="38"/>
        <v/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</row>
    <row r="173" spans="1:23" s="15" customFormat="1" ht="14.15" x14ac:dyDescent="0.35">
      <c r="A173" s="68" t="str">
        <f>IF(B173&lt;&gt;"",COUNTA($B$35:B173),"")</f>
        <v/>
      </c>
      <c r="B173" s="30"/>
      <c r="C173" s="30"/>
      <c r="D173" s="62" t="str">
        <f t="shared" si="39"/>
        <v/>
      </c>
      <c r="E173" s="68" t="str">
        <f t="shared" si="41"/>
        <v/>
      </c>
      <c r="F173" s="68" t="str">
        <f t="shared" si="40"/>
        <v/>
      </c>
      <c r="G173" s="63" t="str">
        <f t="shared" si="38"/>
        <v/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</row>
    <row r="174" spans="1:23" s="15" customFormat="1" ht="14.15" x14ac:dyDescent="0.35">
      <c r="A174" s="68" t="str">
        <f>IF(B174&lt;&gt;"",COUNTA($B$35:B174),"")</f>
        <v/>
      </c>
      <c r="B174" s="30"/>
      <c r="C174" s="30"/>
      <c r="D174" s="62" t="str">
        <f t="shared" si="39"/>
        <v/>
      </c>
      <c r="E174" s="68" t="str">
        <f t="shared" si="41"/>
        <v/>
      </c>
      <c r="F174" s="68" t="str">
        <f t="shared" si="40"/>
        <v/>
      </c>
      <c r="G174" s="63" t="str">
        <f t="shared" si="38"/>
        <v/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 spans="1:23" s="15" customFormat="1" ht="14.15" x14ac:dyDescent="0.35">
      <c r="A175" s="68" t="str">
        <f>IF(B175&lt;&gt;"",COUNTA($B$35:B175),"")</f>
        <v/>
      </c>
      <c r="B175" s="30"/>
      <c r="C175" s="30"/>
      <c r="D175" s="62" t="str">
        <f t="shared" si="39"/>
        <v/>
      </c>
      <c r="E175" s="68" t="str">
        <f t="shared" si="41"/>
        <v/>
      </c>
      <c r="F175" s="68" t="str">
        <f t="shared" si="40"/>
        <v/>
      </c>
      <c r="G175" s="63" t="str">
        <f t="shared" si="38"/>
        <v/>
      </c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</row>
    <row r="176" spans="1:23" s="15" customFormat="1" ht="14.15" x14ac:dyDescent="0.35">
      <c r="A176" s="68" t="str">
        <f>IF(B176&lt;&gt;"",COUNTA($B$35:B176),"")</f>
        <v/>
      </c>
      <c r="B176" s="30"/>
      <c r="C176" s="30"/>
      <c r="D176" s="62" t="str">
        <f t="shared" si="39"/>
        <v/>
      </c>
      <c r="E176" s="68" t="str">
        <f t="shared" si="41"/>
        <v/>
      </c>
      <c r="F176" s="68" t="str">
        <f t="shared" si="40"/>
        <v/>
      </c>
      <c r="G176" s="63" t="str">
        <f t="shared" si="38"/>
        <v/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</row>
    <row r="177" spans="1:23" s="15" customFormat="1" ht="14.15" x14ac:dyDescent="0.35">
      <c r="A177" s="68" t="str">
        <f>IF(B177&lt;&gt;"",COUNTA($B$35:B177),"")</f>
        <v/>
      </c>
      <c r="B177" s="30"/>
      <c r="C177" s="30"/>
      <c r="D177" s="62" t="str">
        <f t="shared" si="39"/>
        <v/>
      </c>
      <c r="E177" s="68" t="str">
        <f t="shared" si="41"/>
        <v/>
      </c>
      <c r="F177" s="68" t="str">
        <f t="shared" si="40"/>
        <v/>
      </c>
      <c r="G177" s="63" t="str">
        <f t="shared" si="38"/>
        <v/>
      </c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</row>
    <row r="178" spans="1:23" s="15" customFormat="1" ht="14.15" x14ac:dyDescent="0.35">
      <c r="A178" s="68" t="str">
        <f>IF(B178&lt;&gt;"",COUNTA($B$35:B178),"")</f>
        <v/>
      </c>
      <c r="B178" s="30"/>
      <c r="C178" s="30"/>
      <c r="D178" s="62" t="str">
        <f t="shared" si="39"/>
        <v/>
      </c>
      <c r="E178" s="68" t="str">
        <f t="shared" si="41"/>
        <v/>
      </c>
      <c r="F178" s="68" t="str">
        <f t="shared" si="40"/>
        <v/>
      </c>
      <c r="G178" s="63" t="str">
        <f t="shared" si="38"/>
        <v/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</row>
    <row r="179" spans="1:23" s="15" customFormat="1" ht="14.15" x14ac:dyDescent="0.35">
      <c r="A179" s="68" t="str">
        <f>IF(B179&lt;&gt;"",COUNTA($B$35:B179),"")</f>
        <v/>
      </c>
      <c r="B179" s="30"/>
      <c r="C179" s="30"/>
      <c r="D179" s="62" t="str">
        <f t="shared" si="39"/>
        <v/>
      </c>
      <c r="E179" s="68" t="str">
        <f t="shared" si="41"/>
        <v/>
      </c>
      <c r="F179" s="68" t="str">
        <f t="shared" si="40"/>
        <v/>
      </c>
      <c r="G179" s="63" t="str">
        <f t="shared" si="38"/>
        <v/>
      </c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</row>
    <row r="180" spans="1:23" s="15" customFormat="1" ht="14.15" x14ac:dyDescent="0.35">
      <c r="A180" s="68" t="str">
        <f>IF(B180&lt;&gt;"",COUNTA($B$35:B180),"")</f>
        <v/>
      </c>
      <c r="B180" s="30"/>
      <c r="C180" s="30"/>
      <c r="D180" s="62" t="str">
        <f t="shared" si="39"/>
        <v/>
      </c>
      <c r="E180" s="68" t="str">
        <f t="shared" si="41"/>
        <v/>
      </c>
      <c r="F180" s="68" t="str">
        <f t="shared" si="40"/>
        <v/>
      </c>
      <c r="G180" s="63" t="str">
        <f t="shared" si="38"/>
        <v/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</row>
    <row r="181" spans="1:23" s="15" customFormat="1" ht="14.15" x14ac:dyDescent="0.35">
      <c r="A181" s="68" t="str">
        <f>IF(B181&lt;&gt;"",COUNTA($B$35:B181),"")</f>
        <v/>
      </c>
      <c r="B181" s="30"/>
      <c r="C181" s="30"/>
      <c r="D181" s="62" t="str">
        <f t="shared" si="39"/>
        <v/>
      </c>
      <c r="E181" s="68" t="str">
        <f t="shared" si="41"/>
        <v/>
      </c>
      <c r="F181" s="68" t="str">
        <f t="shared" si="40"/>
        <v/>
      </c>
      <c r="G181" s="63" t="str">
        <f t="shared" si="38"/>
        <v/>
      </c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</row>
    <row r="182" spans="1:23" s="15" customFormat="1" ht="14.15" x14ac:dyDescent="0.35">
      <c r="A182" s="68" t="str">
        <f>IF(B182&lt;&gt;"",COUNTA($B$35:B182),"")</f>
        <v/>
      </c>
      <c r="B182" s="30"/>
      <c r="C182" s="30"/>
      <c r="D182" s="62" t="str">
        <f t="shared" si="39"/>
        <v/>
      </c>
      <c r="E182" s="68" t="str">
        <f t="shared" si="41"/>
        <v/>
      </c>
      <c r="F182" s="68" t="str">
        <f t="shared" si="40"/>
        <v/>
      </c>
      <c r="G182" s="63" t="str">
        <f t="shared" si="38"/>
        <v/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</row>
    <row r="183" spans="1:23" s="15" customFormat="1" ht="14.15" x14ac:dyDescent="0.35">
      <c r="A183" s="68" t="str">
        <f>IF(B183&lt;&gt;"",COUNTA($B$35:B183),"")</f>
        <v/>
      </c>
      <c r="B183" s="30"/>
      <c r="C183" s="30"/>
      <c r="D183" s="62" t="str">
        <f t="shared" si="39"/>
        <v/>
      </c>
      <c r="E183" s="68" t="str">
        <f t="shared" si="41"/>
        <v/>
      </c>
      <c r="F183" s="68" t="str">
        <f t="shared" si="40"/>
        <v/>
      </c>
      <c r="G183" s="63" t="str">
        <f t="shared" si="38"/>
        <v/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</row>
    <row r="184" spans="1:23" s="15" customFormat="1" ht="14.15" x14ac:dyDescent="0.35">
      <c r="A184" s="68" t="str">
        <f>IF(B184&lt;&gt;"",COUNTA($B$35:B184),"")</f>
        <v/>
      </c>
      <c r="B184" s="30"/>
      <c r="C184" s="30"/>
      <c r="D184" s="62" t="str">
        <f t="shared" si="39"/>
        <v/>
      </c>
      <c r="E184" s="68" t="str">
        <f t="shared" si="41"/>
        <v/>
      </c>
      <c r="F184" s="68" t="str">
        <f t="shared" si="40"/>
        <v/>
      </c>
      <c r="G184" s="63" t="str">
        <f t="shared" si="38"/>
        <v/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</row>
    <row r="185" spans="1:23" s="15" customFormat="1" ht="14.15" x14ac:dyDescent="0.35">
      <c r="A185" s="68" t="str">
        <f>IF(B185&lt;&gt;"",COUNTA($B$35:B185),"")</f>
        <v/>
      </c>
      <c r="B185" s="30"/>
      <c r="C185" s="30"/>
      <c r="D185" s="62" t="str">
        <f t="shared" si="39"/>
        <v/>
      </c>
      <c r="E185" s="68" t="str">
        <f t="shared" si="41"/>
        <v/>
      </c>
      <c r="F185" s="68" t="str">
        <f t="shared" si="40"/>
        <v/>
      </c>
      <c r="G185" s="63" t="str">
        <f t="shared" si="38"/>
        <v/>
      </c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</row>
    <row r="186" spans="1:23" s="15" customFormat="1" ht="14.15" x14ac:dyDescent="0.35">
      <c r="A186" s="68" t="str">
        <f>IF(B186&lt;&gt;"",COUNTA($B$35:B186),"")</f>
        <v/>
      </c>
      <c r="B186" s="30"/>
      <c r="C186" s="30"/>
      <c r="D186" s="62" t="str">
        <f t="shared" si="39"/>
        <v/>
      </c>
      <c r="E186" s="68" t="str">
        <f t="shared" si="41"/>
        <v/>
      </c>
      <c r="F186" s="68" t="str">
        <f t="shared" si="40"/>
        <v/>
      </c>
      <c r="G186" s="63" t="str">
        <f t="shared" si="38"/>
        <v/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</row>
    <row r="187" spans="1:23" s="15" customFormat="1" ht="14.15" x14ac:dyDescent="0.35">
      <c r="A187" s="68" t="str">
        <f>IF(B187&lt;&gt;"",COUNTA($B$35:B187),"")</f>
        <v/>
      </c>
      <c r="B187" s="30"/>
      <c r="C187" s="30"/>
      <c r="D187" s="62" t="str">
        <f t="shared" si="39"/>
        <v/>
      </c>
      <c r="E187" s="68" t="str">
        <f t="shared" si="41"/>
        <v/>
      </c>
      <c r="F187" s="68" t="str">
        <f t="shared" si="40"/>
        <v/>
      </c>
      <c r="G187" s="63" t="str">
        <f t="shared" si="38"/>
        <v/>
      </c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</row>
    <row r="188" spans="1:23" s="15" customFormat="1" ht="14.15" x14ac:dyDescent="0.35">
      <c r="A188" s="68" t="str">
        <f>IF(B188&lt;&gt;"",COUNTA($B$35:B188),"")</f>
        <v/>
      </c>
      <c r="B188" s="30"/>
      <c r="C188" s="30"/>
      <c r="D188" s="62" t="str">
        <f t="shared" si="39"/>
        <v/>
      </c>
      <c r="E188" s="68" t="str">
        <f t="shared" si="41"/>
        <v/>
      </c>
      <c r="F188" s="68" t="str">
        <f t="shared" si="40"/>
        <v/>
      </c>
      <c r="G188" s="63" t="str">
        <f t="shared" si="38"/>
        <v/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</row>
    <row r="189" spans="1:23" s="77" customFormat="1" x14ac:dyDescent="0.4">
      <c r="A189" s="82" t="str">
        <f>IF(B189&lt;&gt;"",COUNTA($B$35:B189),"")</f>
        <v/>
      </c>
      <c r="B189" s="87"/>
      <c r="C189" s="87"/>
      <c r="D189" s="88" t="str">
        <f t="shared" si="39"/>
        <v/>
      </c>
      <c r="E189" s="82" t="str">
        <f t="shared" si="41"/>
        <v/>
      </c>
      <c r="F189" s="82" t="str">
        <f t="shared" si="40"/>
        <v/>
      </c>
      <c r="G189" s="89" t="str">
        <f t="shared" si="38"/>
        <v/>
      </c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</row>
    <row r="190" spans="1:23" s="77" customFormat="1" x14ac:dyDescent="0.4">
      <c r="A190" s="82" t="str">
        <f>IF(B190&lt;&gt;"",COUNTA($B$35:B190),"")</f>
        <v/>
      </c>
      <c r="B190" s="87"/>
      <c r="C190" s="87"/>
      <c r="D190" s="88" t="str">
        <f t="shared" si="39"/>
        <v/>
      </c>
      <c r="E190" s="82" t="str">
        <f t="shared" si="41"/>
        <v/>
      </c>
      <c r="F190" s="82" t="str">
        <f t="shared" si="40"/>
        <v/>
      </c>
      <c r="G190" s="89" t="str">
        <f t="shared" si="38"/>
        <v/>
      </c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</row>
    <row r="191" spans="1:23" s="77" customFormat="1" x14ac:dyDescent="0.4">
      <c r="A191" s="82" t="str">
        <f>IF(B191&lt;&gt;"",COUNTA($B$35:B191),"")</f>
        <v/>
      </c>
      <c r="B191" s="87"/>
      <c r="C191" s="87"/>
      <c r="D191" s="88" t="str">
        <f t="shared" si="39"/>
        <v/>
      </c>
      <c r="E191" s="82" t="str">
        <f t="shared" si="41"/>
        <v/>
      </c>
      <c r="F191" s="82" t="str">
        <f t="shared" si="40"/>
        <v/>
      </c>
      <c r="G191" s="89" t="str">
        <f t="shared" si="38"/>
        <v/>
      </c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</row>
    <row r="192" spans="1:23" s="77" customFormat="1" x14ac:dyDescent="0.4">
      <c r="A192" s="82" t="str">
        <f>IF(B192&lt;&gt;"",COUNTA($B$35:B192),"")</f>
        <v/>
      </c>
      <c r="B192" s="87"/>
      <c r="C192" s="87"/>
      <c r="D192" s="88" t="str">
        <f t="shared" si="39"/>
        <v/>
      </c>
      <c r="E192" s="82" t="str">
        <f t="shared" si="41"/>
        <v/>
      </c>
      <c r="F192" s="82" t="str">
        <f t="shared" si="40"/>
        <v/>
      </c>
      <c r="G192" s="89" t="str">
        <f t="shared" si="38"/>
        <v/>
      </c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</row>
    <row r="193" spans="1:23" s="77" customFormat="1" x14ac:dyDescent="0.4">
      <c r="A193" s="82" t="str">
        <f>IF(B193&lt;&gt;"",COUNTA($B$35:B193),"")</f>
        <v/>
      </c>
      <c r="B193" s="87"/>
      <c r="C193" s="87"/>
      <c r="D193" s="88" t="str">
        <f t="shared" si="39"/>
        <v/>
      </c>
      <c r="E193" s="82" t="str">
        <f t="shared" si="41"/>
        <v/>
      </c>
      <c r="F193" s="82" t="str">
        <f t="shared" si="40"/>
        <v/>
      </c>
      <c r="G193" s="89" t="str">
        <f t="shared" si="38"/>
        <v/>
      </c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</row>
    <row r="194" spans="1:23" s="77" customFormat="1" x14ac:dyDescent="0.4">
      <c r="A194" s="82" t="str">
        <f>IF(B194&lt;&gt;"",COUNTA($B$35:B194),"")</f>
        <v/>
      </c>
      <c r="B194" s="87"/>
      <c r="C194" s="87"/>
      <c r="D194" s="88" t="str">
        <f t="shared" si="39"/>
        <v/>
      </c>
      <c r="E194" s="82" t="str">
        <f t="shared" si="41"/>
        <v/>
      </c>
      <c r="F194" s="82" t="str">
        <f t="shared" si="40"/>
        <v/>
      </c>
      <c r="G194" s="89" t="str">
        <f t="shared" si="38"/>
        <v/>
      </c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</row>
    <row r="195" spans="1:23" s="77" customFormat="1" x14ac:dyDescent="0.4">
      <c r="A195" s="82" t="str">
        <f>IF(B195&lt;&gt;"",COUNTA($B$35:B195),"")</f>
        <v/>
      </c>
      <c r="B195" s="87"/>
      <c r="C195" s="87"/>
      <c r="D195" s="88" t="str">
        <f t="shared" si="39"/>
        <v/>
      </c>
      <c r="E195" s="82" t="str">
        <f t="shared" si="41"/>
        <v/>
      </c>
      <c r="F195" s="82" t="str">
        <f t="shared" si="40"/>
        <v/>
      </c>
      <c r="G195" s="89" t="str">
        <f t="shared" si="38"/>
        <v/>
      </c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</row>
    <row r="196" spans="1:23" s="77" customFormat="1" x14ac:dyDescent="0.4">
      <c r="A196" s="82" t="str">
        <f>IF(B196&lt;&gt;"",COUNTA($B$35:B196),"")</f>
        <v/>
      </c>
      <c r="B196" s="87"/>
      <c r="C196" s="87"/>
      <c r="D196" s="88" t="str">
        <f t="shared" si="39"/>
        <v/>
      </c>
      <c r="E196" s="82" t="str">
        <f t="shared" si="41"/>
        <v/>
      </c>
      <c r="F196" s="82" t="str">
        <f t="shared" si="40"/>
        <v/>
      </c>
      <c r="G196" s="89" t="str">
        <f t="shared" si="38"/>
        <v/>
      </c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</row>
    <row r="197" spans="1:23" s="77" customFormat="1" x14ac:dyDescent="0.4">
      <c r="A197" s="82" t="str">
        <f>IF(B197&lt;&gt;"",COUNTA($B$35:B197),"")</f>
        <v/>
      </c>
      <c r="B197" s="87"/>
      <c r="C197" s="87"/>
      <c r="D197" s="88" t="str">
        <f t="shared" si="39"/>
        <v/>
      </c>
      <c r="E197" s="82" t="str">
        <f t="shared" si="41"/>
        <v/>
      </c>
      <c r="F197" s="82" t="str">
        <f t="shared" si="40"/>
        <v/>
      </c>
      <c r="G197" s="89" t="str">
        <f t="shared" si="38"/>
        <v/>
      </c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</row>
    <row r="198" spans="1:23" s="77" customFormat="1" x14ac:dyDescent="0.4">
      <c r="A198" s="82" t="str">
        <f>IF(B198&lt;&gt;"",COUNTA($B$35:B198),"")</f>
        <v/>
      </c>
      <c r="B198" s="87"/>
      <c r="C198" s="87"/>
      <c r="D198" s="88" t="str">
        <f t="shared" si="39"/>
        <v/>
      </c>
      <c r="E198" s="82" t="str">
        <f t="shared" si="41"/>
        <v/>
      </c>
      <c r="F198" s="82" t="str">
        <f t="shared" si="40"/>
        <v/>
      </c>
      <c r="G198" s="89" t="str">
        <f t="shared" si="38"/>
        <v/>
      </c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</row>
    <row r="199" spans="1:23" s="77" customFormat="1" x14ac:dyDescent="0.4">
      <c r="A199" s="82" t="str">
        <f>IF(B199&lt;&gt;"",COUNTA($B$35:B199),"")</f>
        <v/>
      </c>
      <c r="B199" s="87"/>
      <c r="C199" s="87"/>
      <c r="D199" s="88" t="str">
        <f t="shared" si="39"/>
        <v/>
      </c>
      <c r="E199" s="82" t="str">
        <f t="shared" si="41"/>
        <v/>
      </c>
      <c r="F199" s="82" t="str">
        <f t="shared" si="40"/>
        <v/>
      </c>
      <c r="G199" s="89" t="str">
        <f t="shared" si="38"/>
        <v/>
      </c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</row>
    <row r="200" spans="1:23" s="77" customFormat="1" x14ac:dyDescent="0.4">
      <c r="A200" s="82" t="str">
        <f>IF(B200&lt;&gt;"",COUNTA($B$35:B200),"")</f>
        <v/>
      </c>
      <c r="B200" s="87"/>
      <c r="C200" s="87"/>
      <c r="D200" s="88" t="str">
        <f t="shared" si="39"/>
        <v/>
      </c>
      <c r="E200" s="82" t="str">
        <f t="shared" si="41"/>
        <v/>
      </c>
      <c r="F200" s="82" t="str">
        <f t="shared" si="40"/>
        <v/>
      </c>
      <c r="G200" s="89" t="str">
        <f t="shared" si="38"/>
        <v/>
      </c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</row>
    <row r="201" spans="1:23" s="77" customFormat="1" x14ac:dyDescent="0.4">
      <c r="A201" s="82" t="str">
        <f>IF(B201&lt;&gt;"",COUNTA($B$35:B201),"")</f>
        <v/>
      </c>
      <c r="B201" s="87"/>
      <c r="C201" s="87"/>
      <c r="D201" s="88" t="str">
        <f t="shared" si="39"/>
        <v/>
      </c>
      <c r="E201" s="82" t="str">
        <f t="shared" si="41"/>
        <v/>
      </c>
      <c r="F201" s="82" t="str">
        <f t="shared" si="40"/>
        <v/>
      </c>
      <c r="G201" s="89" t="str">
        <f t="shared" si="38"/>
        <v/>
      </c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</row>
    <row r="202" spans="1:23" s="77" customFormat="1" x14ac:dyDescent="0.4">
      <c r="A202" s="82" t="str">
        <f>IF(B202&lt;&gt;"",COUNTA($B$35:B202),"")</f>
        <v/>
      </c>
      <c r="B202" s="87"/>
      <c r="C202" s="87"/>
      <c r="D202" s="88" t="str">
        <f t="shared" si="39"/>
        <v/>
      </c>
      <c r="E202" s="82" t="str">
        <f t="shared" si="41"/>
        <v/>
      </c>
      <c r="F202" s="82" t="str">
        <f t="shared" si="40"/>
        <v/>
      </c>
      <c r="G202" s="89" t="str">
        <f t="shared" si="38"/>
        <v/>
      </c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</row>
    <row r="203" spans="1:23" s="77" customFormat="1" x14ac:dyDescent="0.4">
      <c r="A203" s="82" t="str">
        <f>IF(B203&lt;&gt;"",COUNTA($B$35:B203),"")</f>
        <v/>
      </c>
      <c r="B203" s="87"/>
      <c r="C203" s="87"/>
      <c r="D203" s="88" t="str">
        <f t="shared" si="39"/>
        <v/>
      </c>
      <c r="E203" s="82" t="str">
        <f t="shared" si="41"/>
        <v/>
      </c>
      <c r="F203" s="82" t="str">
        <f t="shared" si="40"/>
        <v/>
      </c>
      <c r="G203" s="89" t="str">
        <f t="shared" si="38"/>
        <v/>
      </c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</row>
    <row r="204" spans="1:23" s="77" customFormat="1" x14ac:dyDescent="0.4">
      <c r="A204" s="82" t="str">
        <f>IF(B204&lt;&gt;"",COUNTA($B$35:B204),"")</f>
        <v/>
      </c>
      <c r="B204" s="87"/>
      <c r="C204" s="87"/>
      <c r="D204" s="88" t="str">
        <f t="shared" si="39"/>
        <v/>
      </c>
      <c r="E204" s="82" t="str">
        <f t="shared" si="41"/>
        <v/>
      </c>
      <c r="F204" s="82" t="str">
        <f t="shared" si="40"/>
        <v/>
      </c>
      <c r="G204" s="89" t="str">
        <f t="shared" si="38"/>
        <v/>
      </c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</row>
    <row r="205" spans="1:23" s="77" customFormat="1" x14ac:dyDescent="0.4">
      <c r="A205" s="82" t="str">
        <f>IF(B205&lt;&gt;"",COUNTA($B$35:B205),"")</f>
        <v/>
      </c>
      <c r="B205" s="87"/>
      <c r="C205" s="87"/>
      <c r="D205" s="88" t="str">
        <f t="shared" si="39"/>
        <v/>
      </c>
      <c r="E205" s="82" t="str">
        <f t="shared" si="41"/>
        <v/>
      </c>
      <c r="F205" s="82" t="str">
        <f t="shared" si="40"/>
        <v/>
      </c>
      <c r="G205" s="89" t="str">
        <f t="shared" si="38"/>
        <v/>
      </c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</row>
    <row r="206" spans="1:23" s="77" customFormat="1" x14ac:dyDescent="0.4">
      <c r="A206" s="82" t="str">
        <f>IF(B206&lt;&gt;"",COUNTA($B$35:B206),"")</f>
        <v/>
      </c>
      <c r="B206" s="87"/>
      <c r="C206" s="87"/>
      <c r="D206" s="88" t="str">
        <f t="shared" si="39"/>
        <v/>
      </c>
      <c r="E206" s="82" t="str">
        <f t="shared" si="41"/>
        <v/>
      </c>
      <c r="F206" s="82" t="str">
        <f t="shared" si="40"/>
        <v/>
      </c>
      <c r="G206" s="89" t="str">
        <f t="shared" si="38"/>
        <v/>
      </c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</row>
    <row r="207" spans="1:23" s="77" customFormat="1" x14ac:dyDescent="0.4">
      <c r="A207" s="82" t="str">
        <f>IF(B207&lt;&gt;"",COUNTA($B$35:B207),"")</f>
        <v/>
      </c>
      <c r="B207" s="87"/>
      <c r="C207" s="87"/>
      <c r="D207" s="88" t="str">
        <f t="shared" si="39"/>
        <v/>
      </c>
      <c r="E207" s="82" t="str">
        <f t="shared" si="41"/>
        <v/>
      </c>
      <c r="F207" s="82" t="str">
        <f t="shared" si="40"/>
        <v/>
      </c>
      <c r="G207" s="89" t="str">
        <f t="shared" si="38"/>
        <v/>
      </c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</row>
    <row r="208" spans="1:23" s="77" customFormat="1" x14ac:dyDescent="0.4">
      <c r="A208" s="82" t="str">
        <f>IF(B208&lt;&gt;"",COUNTA($B$35:B208),"")</f>
        <v/>
      </c>
      <c r="B208" s="87"/>
      <c r="C208" s="87"/>
      <c r="D208" s="88" t="str">
        <f t="shared" si="39"/>
        <v/>
      </c>
      <c r="E208" s="82" t="str">
        <f t="shared" si="41"/>
        <v/>
      </c>
      <c r="F208" s="82" t="str">
        <f t="shared" si="40"/>
        <v/>
      </c>
      <c r="G208" s="89" t="str">
        <f t="shared" si="38"/>
        <v/>
      </c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</row>
    <row r="209" spans="1:23" s="77" customFormat="1" x14ac:dyDescent="0.4">
      <c r="A209" s="82" t="str">
        <f>IF(B209&lt;&gt;"",COUNTA($B$35:B209),"")</f>
        <v/>
      </c>
      <c r="B209" s="87"/>
      <c r="C209" s="87"/>
      <c r="D209" s="88" t="str">
        <f t="shared" si="39"/>
        <v/>
      </c>
      <c r="E209" s="82" t="str">
        <f t="shared" si="41"/>
        <v/>
      </c>
      <c r="F209" s="82" t="str">
        <f t="shared" si="40"/>
        <v/>
      </c>
      <c r="G209" s="89" t="str">
        <f t="shared" si="38"/>
        <v/>
      </c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</row>
    <row r="210" spans="1:23" s="77" customFormat="1" x14ac:dyDescent="0.4">
      <c r="A210" s="82" t="str">
        <f>IF(B210&lt;&gt;"",COUNTA($B$35:B210),"")</f>
        <v/>
      </c>
      <c r="B210" s="87"/>
      <c r="C210" s="87"/>
      <c r="D210" s="88" t="str">
        <f t="shared" si="39"/>
        <v/>
      </c>
      <c r="E210" s="82" t="str">
        <f t="shared" si="41"/>
        <v/>
      </c>
      <c r="F210" s="82" t="str">
        <f t="shared" si="40"/>
        <v/>
      </c>
      <c r="G210" s="89" t="str">
        <f t="shared" si="38"/>
        <v/>
      </c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</row>
    <row r="211" spans="1:23" s="77" customFormat="1" x14ac:dyDescent="0.4">
      <c r="A211" s="82" t="str">
        <f>IF(B211&lt;&gt;"",COUNTA($B$35:B211),"")</f>
        <v/>
      </c>
      <c r="B211" s="87"/>
      <c r="C211" s="87"/>
      <c r="D211" s="88" t="str">
        <f t="shared" si="39"/>
        <v/>
      </c>
      <c r="E211" s="82" t="str">
        <f t="shared" si="41"/>
        <v/>
      </c>
      <c r="F211" s="82" t="str">
        <f t="shared" si="40"/>
        <v/>
      </c>
      <c r="G211" s="89" t="str">
        <f t="shared" si="38"/>
        <v/>
      </c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</row>
    <row r="212" spans="1:23" s="77" customFormat="1" x14ac:dyDescent="0.4">
      <c r="A212" s="82" t="str">
        <f>IF(B212&lt;&gt;"",COUNTA($B$35:B212),"")</f>
        <v/>
      </c>
      <c r="B212" s="87"/>
      <c r="C212" s="87"/>
      <c r="D212" s="88" t="str">
        <f t="shared" si="39"/>
        <v/>
      </c>
      <c r="E212" s="82" t="str">
        <f t="shared" si="41"/>
        <v/>
      </c>
      <c r="F212" s="82" t="str">
        <f t="shared" si="40"/>
        <v/>
      </c>
      <c r="G212" s="89" t="str">
        <f t="shared" si="38"/>
        <v/>
      </c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</row>
    <row r="213" spans="1:23" s="77" customFormat="1" x14ac:dyDescent="0.4">
      <c r="A213" s="82" t="str">
        <f>IF(B213&lt;&gt;"",COUNTA($B$35:B213),"")</f>
        <v/>
      </c>
      <c r="B213" s="87"/>
      <c r="C213" s="87"/>
      <c r="D213" s="88" t="str">
        <f t="shared" si="39"/>
        <v/>
      </c>
      <c r="E213" s="82" t="str">
        <f t="shared" si="41"/>
        <v/>
      </c>
      <c r="F213" s="82" t="str">
        <f t="shared" si="40"/>
        <v/>
      </c>
      <c r="G213" s="89" t="str">
        <f t="shared" si="38"/>
        <v/>
      </c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</row>
    <row r="214" spans="1:23" s="77" customFormat="1" x14ac:dyDescent="0.4">
      <c r="A214" s="82" t="str">
        <f>IF(B214&lt;&gt;"",COUNTA($B$35:B214),"")</f>
        <v/>
      </c>
      <c r="B214" s="87"/>
      <c r="C214" s="87"/>
      <c r="D214" s="88" t="str">
        <f t="shared" si="39"/>
        <v/>
      </c>
      <c r="E214" s="82" t="str">
        <f t="shared" si="41"/>
        <v/>
      </c>
      <c r="F214" s="82" t="str">
        <f t="shared" si="40"/>
        <v/>
      </c>
      <c r="G214" s="89" t="str">
        <f t="shared" si="38"/>
        <v/>
      </c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</row>
    <row r="215" spans="1:23" s="77" customFormat="1" x14ac:dyDescent="0.4">
      <c r="A215" s="82" t="str">
        <f>IF(B215&lt;&gt;"",COUNTA($B$35:B215),"")</f>
        <v/>
      </c>
      <c r="B215" s="87"/>
      <c r="C215" s="87"/>
      <c r="D215" s="88" t="str">
        <f t="shared" si="39"/>
        <v/>
      </c>
      <c r="E215" s="82" t="str">
        <f t="shared" si="41"/>
        <v/>
      </c>
      <c r="F215" s="82" t="str">
        <f t="shared" si="40"/>
        <v/>
      </c>
      <c r="G215" s="89" t="str">
        <f t="shared" si="38"/>
        <v/>
      </c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</row>
    <row r="216" spans="1:23" s="77" customFormat="1" x14ac:dyDescent="0.4">
      <c r="A216" s="82" t="str">
        <f>IF(B216&lt;&gt;"",COUNTA($B$35:B216),"")</f>
        <v/>
      </c>
      <c r="B216" s="87"/>
      <c r="C216" s="87"/>
      <c r="D216" s="88" t="str">
        <f t="shared" si="39"/>
        <v/>
      </c>
      <c r="E216" s="82" t="str">
        <f t="shared" si="41"/>
        <v/>
      </c>
      <c r="F216" s="82" t="str">
        <f t="shared" si="40"/>
        <v/>
      </c>
      <c r="G216" s="89" t="str">
        <f t="shared" si="38"/>
        <v/>
      </c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</row>
    <row r="217" spans="1:23" s="77" customFormat="1" x14ac:dyDescent="0.4">
      <c r="A217" s="82" t="str">
        <f>IF(B217&lt;&gt;"",COUNTA($B$35:B217),"")</f>
        <v/>
      </c>
      <c r="B217" s="87"/>
      <c r="C217" s="87"/>
      <c r="D217" s="88" t="str">
        <f t="shared" si="39"/>
        <v/>
      </c>
      <c r="E217" s="82" t="str">
        <f t="shared" si="41"/>
        <v/>
      </c>
      <c r="F217" s="82" t="str">
        <f t="shared" si="40"/>
        <v/>
      </c>
      <c r="G217" s="89" t="str">
        <f t="shared" si="38"/>
        <v/>
      </c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</row>
    <row r="218" spans="1:23" s="77" customFormat="1" x14ac:dyDescent="0.4">
      <c r="A218" s="82" t="str">
        <f>IF(B218&lt;&gt;"",COUNTA($B$35:B218),"")</f>
        <v/>
      </c>
      <c r="B218" s="87"/>
      <c r="C218" s="87"/>
      <c r="D218" s="88" t="str">
        <f t="shared" si="39"/>
        <v/>
      </c>
      <c r="E218" s="82" t="str">
        <f t="shared" si="41"/>
        <v/>
      </c>
      <c r="F218" s="82" t="str">
        <f t="shared" si="40"/>
        <v/>
      </c>
      <c r="G218" s="89" t="str">
        <f t="shared" si="38"/>
        <v/>
      </c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</row>
    <row r="219" spans="1:23" s="77" customFormat="1" x14ac:dyDescent="0.4">
      <c r="A219" s="82" t="str">
        <f>IF(B219&lt;&gt;"",COUNTA($B$35:B219),"")</f>
        <v/>
      </c>
      <c r="B219" s="87"/>
      <c r="C219" s="87"/>
      <c r="D219" s="88" t="str">
        <f t="shared" si="39"/>
        <v/>
      </c>
      <c r="E219" s="82" t="str">
        <f t="shared" si="41"/>
        <v/>
      </c>
      <c r="F219" s="82" t="str">
        <f t="shared" si="40"/>
        <v/>
      </c>
      <c r="G219" s="89" t="str">
        <f t="shared" si="38"/>
        <v/>
      </c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</row>
    <row r="220" spans="1:23" s="77" customFormat="1" x14ac:dyDescent="0.4">
      <c r="A220" s="82" t="str">
        <f>IF(B220&lt;&gt;"",COUNTA($B$35:B220),"")</f>
        <v/>
      </c>
      <c r="B220" s="87"/>
      <c r="C220" s="87"/>
      <c r="D220" s="88" t="str">
        <f t="shared" si="39"/>
        <v/>
      </c>
      <c r="E220" s="82" t="str">
        <f t="shared" si="41"/>
        <v/>
      </c>
      <c r="F220" s="82" t="str">
        <f t="shared" si="40"/>
        <v/>
      </c>
      <c r="G220" s="89" t="str">
        <f t="shared" si="38"/>
        <v/>
      </c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</row>
    <row r="221" spans="1:23" s="77" customFormat="1" x14ac:dyDescent="0.4">
      <c r="A221" s="82" t="str">
        <f>IF(B221&lt;&gt;"",COUNTA($B$35:B221),"")</f>
        <v/>
      </c>
      <c r="B221" s="87"/>
      <c r="C221" s="87"/>
      <c r="D221" s="88" t="str">
        <f t="shared" si="39"/>
        <v/>
      </c>
      <c r="E221" s="82" t="str">
        <f t="shared" si="41"/>
        <v/>
      </c>
      <c r="F221" s="82" t="str">
        <f t="shared" si="40"/>
        <v/>
      </c>
      <c r="G221" s="89" t="str">
        <f t="shared" si="38"/>
        <v/>
      </c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</row>
    <row r="222" spans="1:23" s="77" customFormat="1" x14ac:dyDescent="0.4">
      <c r="A222" s="82" t="str">
        <f>IF(B222&lt;&gt;"",COUNTA($B$35:B222),"")</f>
        <v/>
      </c>
      <c r="B222" s="87"/>
      <c r="C222" s="87"/>
      <c r="D222" s="88" t="str">
        <f t="shared" si="39"/>
        <v/>
      </c>
      <c r="E222" s="82" t="str">
        <f t="shared" si="41"/>
        <v/>
      </c>
      <c r="F222" s="82" t="str">
        <f t="shared" si="40"/>
        <v/>
      </c>
      <c r="G222" s="89" t="str">
        <f t="shared" si="38"/>
        <v/>
      </c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</row>
    <row r="223" spans="1:23" s="77" customFormat="1" x14ac:dyDescent="0.4">
      <c r="A223" s="82" t="str">
        <f>IF(B223&lt;&gt;"",COUNTA($B$35:B223),"")</f>
        <v/>
      </c>
      <c r="B223" s="87"/>
      <c r="C223" s="87"/>
      <c r="D223" s="88" t="str">
        <f t="shared" si="39"/>
        <v/>
      </c>
      <c r="E223" s="82" t="str">
        <f t="shared" si="41"/>
        <v/>
      </c>
      <c r="F223" s="82" t="str">
        <f t="shared" si="40"/>
        <v/>
      </c>
      <c r="G223" s="89" t="str">
        <f t="shared" si="38"/>
        <v/>
      </c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</row>
    <row r="224" spans="1:23" s="77" customFormat="1" x14ac:dyDescent="0.4">
      <c r="A224" s="82" t="str">
        <f>IF(B224&lt;&gt;"",COUNTA($B$35:B224),"")</f>
        <v/>
      </c>
      <c r="B224" s="87"/>
      <c r="C224" s="87"/>
      <c r="D224" s="88" t="str">
        <f t="shared" si="39"/>
        <v/>
      </c>
      <c r="E224" s="82" t="str">
        <f t="shared" si="41"/>
        <v/>
      </c>
      <c r="F224" s="82" t="str">
        <f t="shared" si="40"/>
        <v/>
      </c>
      <c r="G224" s="89" t="str">
        <f t="shared" si="38"/>
        <v/>
      </c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</row>
    <row r="225" spans="1:23" s="77" customFormat="1" x14ac:dyDescent="0.4">
      <c r="A225" s="82" t="str">
        <f>IF(B225&lt;&gt;"",COUNTA($B$35:B225),"")</f>
        <v/>
      </c>
      <c r="B225" s="87"/>
      <c r="C225" s="87"/>
      <c r="D225" s="88" t="str">
        <f t="shared" si="39"/>
        <v/>
      </c>
      <c r="E225" s="82" t="str">
        <f t="shared" si="41"/>
        <v/>
      </c>
      <c r="F225" s="82" t="str">
        <f t="shared" si="40"/>
        <v/>
      </c>
      <c r="G225" s="89" t="str">
        <f t="shared" si="38"/>
        <v/>
      </c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</row>
    <row r="226" spans="1:23" s="77" customFormat="1" x14ac:dyDescent="0.4">
      <c r="A226" s="82" t="str">
        <f>IF(B226&lt;&gt;"",COUNTA($B$35:B226),"")</f>
        <v/>
      </c>
      <c r="B226" s="87"/>
      <c r="C226" s="87"/>
      <c r="D226" s="88" t="str">
        <f t="shared" si="39"/>
        <v/>
      </c>
      <c r="E226" s="82" t="str">
        <f t="shared" si="41"/>
        <v/>
      </c>
      <c r="F226" s="82" t="str">
        <f t="shared" si="40"/>
        <v/>
      </c>
      <c r="G226" s="89" t="str">
        <f t="shared" si="38"/>
        <v/>
      </c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</row>
    <row r="227" spans="1:23" s="77" customFormat="1" x14ac:dyDescent="0.4">
      <c r="A227" s="82" t="str">
        <f>IF(B227&lt;&gt;"",COUNTA($B$35:B227),"")</f>
        <v/>
      </c>
      <c r="B227" s="87"/>
      <c r="C227" s="87"/>
      <c r="D227" s="88" t="str">
        <f t="shared" si="39"/>
        <v/>
      </c>
      <c r="E227" s="82" t="str">
        <f t="shared" si="41"/>
        <v/>
      </c>
      <c r="F227" s="82" t="str">
        <f t="shared" si="40"/>
        <v/>
      </c>
      <c r="G227" s="89" t="str">
        <f t="shared" ref="G227:G234" si="42">IF(D227 = "", "", IF(D227 &gt;= 70, "FCD", IF(D227 &gt;= 60, "FC", IF(D227 &gt;= 35, "SC", ""))))</f>
        <v/>
      </c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</row>
    <row r="228" spans="1:23" s="77" customFormat="1" x14ac:dyDescent="0.4">
      <c r="A228" s="82" t="str">
        <f>IF(B228&lt;&gt;"",COUNTA($B$35:B228),"")</f>
        <v/>
      </c>
      <c r="B228" s="87"/>
      <c r="C228" s="87"/>
      <c r="D228" s="88" t="str">
        <f t="shared" si="39"/>
        <v/>
      </c>
      <c r="E228" s="82" t="str">
        <f t="shared" si="41"/>
        <v/>
      </c>
      <c r="F228" s="82" t="str">
        <f t="shared" si="40"/>
        <v/>
      </c>
      <c r="G228" s="89" t="str">
        <f t="shared" si="42"/>
        <v/>
      </c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</row>
    <row r="229" spans="1:23" s="77" customFormat="1" x14ac:dyDescent="0.4">
      <c r="A229" s="82" t="str">
        <f>IF(B229&lt;&gt;"",COUNTA($B$35:B229),"")</f>
        <v/>
      </c>
      <c r="B229" s="87"/>
      <c r="C229" s="87"/>
      <c r="D229" s="88" t="str">
        <f t="shared" ref="D229:D234" si="43">IF(C229="","",(SUM(H229:W229)/D$29)*100)</f>
        <v/>
      </c>
      <c r="E229" s="82" t="str">
        <f t="shared" si="41"/>
        <v/>
      </c>
      <c r="F229" s="82" t="str">
        <f t="shared" ref="F229:F234" si="44">IF(E229="Pass",G229, IF(E229="FAIL","FAIL",""))</f>
        <v/>
      </c>
      <c r="G229" s="89" t="str">
        <f t="shared" si="42"/>
        <v/>
      </c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</row>
    <row r="230" spans="1:23" s="77" customFormat="1" x14ac:dyDescent="0.4">
      <c r="A230" s="82" t="str">
        <f>IF(B230&lt;&gt;"",COUNTA($B$35:B230),"")</f>
        <v/>
      </c>
      <c r="B230" s="87"/>
      <c r="C230" s="87"/>
      <c r="D230" s="88" t="str">
        <f t="shared" si="43"/>
        <v/>
      </c>
      <c r="E230" s="82" t="str">
        <f t="shared" si="41"/>
        <v/>
      </c>
      <c r="F230" s="82" t="str">
        <f t="shared" si="44"/>
        <v/>
      </c>
      <c r="G230" s="89" t="str">
        <f t="shared" si="42"/>
        <v/>
      </c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</row>
    <row r="231" spans="1:23" s="77" customFormat="1" x14ac:dyDescent="0.4">
      <c r="A231" s="82" t="str">
        <f>IF(B231&lt;&gt;"",COUNTA($B$35:B231),"")</f>
        <v/>
      </c>
      <c r="B231" s="87"/>
      <c r="C231" s="87"/>
      <c r="D231" s="88" t="str">
        <f t="shared" si="43"/>
        <v/>
      </c>
      <c r="E231" s="82" t="str">
        <f t="shared" si="41"/>
        <v/>
      </c>
      <c r="F231" s="82" t="str">
        <f t="shared" si="44"/>
        <v/>
      </c>
      <c r="G231" s="89" t="str">
        <f t="shared" si="42"/>
        <v/>
      </c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</row>
    <row r="232" spans="1:23" s="77" customFormat="1" x14ac:dyDescent="0.4">
      <c r="A232" s="82" t="str">
        <f>IF(B232&lt;&gt;"",COUNTA($B$35:B232),"")</f>
        <v/>
      </c>
      <c r="B232" s="87"/>
      <c r="C232" s="87"/>
      <c r="D232" s="88" t="str">
        <f t="shared" si="43"/>
        <v/>
      </c>
      <c r="E232" s="82" t="str">
        <f t="shared" si="41"/>
        <v/>
      </c>
      <c r="F232" s="82" t="str">
        <f t="shared" si="44"/>
        <v/>
      </c>
      <c r="G232" s="89" t="str">
        <f t="shared" si="42"/>
        <v/>
      </c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</row>
    <row r="233" spans="1:23" s="77" customFormat="1" x14ac:dyDescent="0.4">
      <c r="A233" s="82" t="str">
        <f>IF(B233&lt;&gt;"",COUNTA($B$35:B233),"")</f>
        <v/>
      </c>
      <c r="B233" s="87"/>
      <c r="C233" s="87"/>
      <c r="D233" s="88" t="str">
        <f t="shared" si="43"/>
        <v/>
      </c>
      <c r="E233" s="82" t="str">
        <f t="shared" ref="E233:E234" si="45">IF(ISBLANK(B233),"",IF(OR(I233&lt;18,K233&lt;18,M233&lt;18,O233&lt;18,Q233&lt;18,S233&lt;18,U233&lt;18,W233&lt;18),"FAIL","PASS"))</f>
        <v/>
      </c>
      <c r="F233" s="82" t="str">
        <f t="shared" si="44"/>
        <v/>
      </c>
      <c r="G233" s="89" t="str">
        <f t="shared" si="42"/>
        <v/>
      </c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</row>
    <row r="234" spans="1:23" s="77" customFormat="1" x14ac:dyDescent="0.4">
      <c r="A234" s="82" t="str">
        <f>IF(B234&lt;&gt;"",COUNTA($B$35:B234),"")</f>
        <v/>
      </c>
      <c r="B234" s="87"/>
      <c r="C234" s="87"/>
      <c r="D234" s="88" t="str">
        <f t="shared" si="43"/>
        <v/>
      </c>
      <c r="E234" s="82" t="str">
        <f t="shared" si="45"/>
        <v/>
      </c>
      <c r="F234" s="82" t="str">
        <f t="shared" si="44"/>
        <v/>
      </c>
      <c r="G234" s="89" t="str">
        <f t="shared" si="42"/>
        <v/>
      </c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</row>
    <row r="235" spans="1:23" s="77" customFormat="1" x14ac:dyDescent="0.4">
      <c r="A235" s="82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</row>
    <row r="236" spans="1:23" s="77" customFormat="1" x14ac:dyDescent="0.4">
      <c r="A236" s="82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</row>
    <row r="237" spans="1:23" s="77" customFormat="1" x14ac:dyDescent="0.4">
      <c r="A237" s="82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</row>
    <row r="238" spans="1:23" s="77" customFormat="1" x14ac:dyDescent="0.4">
      <c r="A238" s="82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</row>
    <row r="239" spans="1:23" s="77" customFormat="1" x14ac:dyDescent="0.4">
      <c r="A239" s="82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</row>
    <row r="240" spans="1:23" s="77" customFormat="1" x14ac:dyDescent="0.4">
      <c r="A240" s="82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</row>
    <row r="241" spans="1:23" s="77" customFormat="1" x14ac:dyDescent="0.4">
      <c r="A241" s="82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</row>
    <row r="242" spans="1:23" s="77" customFormat="1" x14ac:dyDescent="0.4">
      <c r="A242" s="82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</row>
    <row r="243" spans="1:23" s="77" customFormat="1" x14ac:dyDescent="0.4">
      <c r="A243" s="82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</row>
    <row r="244" spans="1:23" s="77" customFormat="1" x14ac:dyDescent="0.4">
      <c r="A244" s="82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</row>
    <row r="245" spans="1:23" s="77" customFormat="1" x14ac:dyDescent="0.4">
      <c r="A245" s="82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</row>
    <row r="246" spans="1:23" s="77" customFormat="1" x14ac:dyDescent="0.4">
      <c r="A246" s="82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</row>
    <row r="247" spans="1:23" s="77" customFormat="1" x14ac:dyDescent="0.4">
      <c r="A247" s="82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</row>
    <row r="248" spans="1:23" s="77" customFormat="1" x14ac:dyDescent="0.4">
      <c r="A248" s="82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</row>
    <row r="249" spans="1:23" s="77" customFormat="1" x14ac:dyDescent="0.4">
      <c r="A249" s="82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</row>
    <row r="250" spans="1:23" s="77" customFormat="1" x14ac:dyDescent="0.4">
      <c r="A250" s="82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</row>
  </sheetData>
  <mergeCells count="114">
    <mergeCell ref="A1:W1"/>
    <mergeCell ref="A2:W2"/>
    <mergeCell ref="A3:W3"/>
    <mergeCell ref="A14:C14"/>
    <mergeCell ref="D14:F14"/>
    <mergeCell ref="H14:I14"/>
    <mergeCell ref="J14:K14"/>
    <mergeCell ref="L14:M14"/>
    <mergeCell ref="N14:O14"/>
    <mergeCell ref="P14:Q14"/>
    <mergeCell ref="R14:S14"/>
    <mergeCell ref="T14:U14"/>
    <mergeCell ref="V14:W14"/>
    <mergeCell ref="D15:F15"/>
    <mergeCell ref="H15:I15"/>
    <mergeCell ref="J15:K15"/>
    <mergeCell ref="L15:M15"/>
    <mergeCell ref="N15:O15"/>
    <mergeCell ref="P15:Q15"/>
    <mergeCell ref="R15:S15"/>
    <mergeCell ref="T15:U15"/>
    <mergeCell ref="V15:W15"/>
    <mergeCell ref="D16:F16"/>
    <mergeCell ref="H16:I16"/>
    <mergeCell ref="J16:K16"/>
    <mergeCell ref="L16:M16"/>
    <mergeCell ref="N16:O16"/>
    <mergeCell ref="P16:Q16"/>
    <mergeCell ref="R16:S16"/>
    <mergeCell ref="T16:U16"/>
    <mergeCell ref="V16:W16"/>
    <mergeCell ref="D17:F17"/>
    <mergeCell ref="H17:I17"/>
    <mergeCell ref="J17:K17"/>
    <mergeCell ref="L17:M17"/>
    <mergeCell ref="N17:O17"/>
    <mergeCell ref="P17:Q17"/>
    <mergeCell ref="R17:S17"/>
    <mergeCell ref="T17:U17"/>
    <mergeCell ref="V17:W17"/>
    <mergeCell ref="T20:U20"/>
    <mergeCell ref="D22:F22"/>
    <mergeCell ref="R18:S18"/>
    <mergeCell ref="T18:U18"/>
    <mergeCell ref="V18:W18"/>
    <mergeCell ref="D19:F19"/>
    <mergeCell ref="H19:I19"/>
    <mergeCell ref="J19:K19"/>
    <mergeCell ref="L19:M19"/>
    <mergeCell ref="N19:O19"/>
    <mergeCell ref="P19:Q19"/>
    <mergeCell ref="R19:S19"/>
    <mergeCell ref="D18:F18"/>
    <mergeCell ref="H18:I18"/>
    <mergeCell ref="J18:K18"/>
    <mergeCell ref="L18:M18"/>
    <mergeCell ref="N18:O18"/>
    <mergeCell ref="P18:Q18"/>
    <mergeCell ref="T19:U19"/>
    <mergeCell ref="V19:W19"/>
    <mergeCell ref="T33:U33"/>
    <mergeCell ref="V33:W33"/>
    <mergeCell ref="D23:F23"/>
    <mergeCell ref="D24:F24"/>
    <mergeCell ref="D25:F25"/>
    <mergeCell ref="D26:F26"/>
    <mergeCell ref="H26:I26"/>
    <mergeCell ref="V20:W20"/>
    <mergeCell ref="D21:F21"/>
    <mergeCell ref="H21:I21"/>
    <mergeCell ref="J21:K21"/>
    <mergeCell ref="L21:M21"/>
    <mergeCell ref="N21:O21"/>
    <mergeCell ref="P21:Q21"/>
    <mergeCell ref="R21:S21"/>
    <mergeCell ref="T21:U21"/>
    <mergeCell ref="V21:W21"/>
    <mergeCell ref="D20:F20"/>
    <mergeCell ref="H20:I20"/>
    <mergeCell ref="J20:K20"/>
    <mergeCell ref="L20:M20"/>
    <mergeCell ref="N20:O20"/>
    <mergeCell ref="P20:Q20"/>
    <mergeCell ref="R20:S20"/>
    <mergeCell ref="V26:W26"/>
    <mergeCell ref="D27:F27"/>
    <mergeCell ref="H27:I27"/>
    <mergeCell ref="J27:K27"/>
    <mergeCell ref="L27:M27"/>
    <mergeCell ref="N27:O27"/>
    <mergeCell ref="P27:Q27"/>
    <mergeCell ref="R27:S27"/>
    <mergeCell ref="T27:U27"/>
    <mergeCell ref="V27:W27"/>
    <mergeCell ref="J26:K26"/>
    <mergeCell ref="L26:M26"/>
    <mergeCell ref="N26:O26"/>
    <mergeCell ref="P26:Q26"/>
    <mergeCell ref="R26:S26"/>
    <mergeCell ref="T26:U26"/>
    <mergeCell ref="H33:I33"/>
    <mergeCell ref="J33:K33"/>
    <mergeCell ref="L33:M33"/>
    <mergeCell ref="N33:O33"/>
    <mergeCell ref="P33:Q33"/>
    <mergeCell ref="R33:S33"/>
    <mergeCell ref="D28:F28"/>
    <mergeCell ref="D29:F29"/>
    <mergeCell ref="A33:A34"/>
    <mergeCell ref="B33:B34"/>
    <mergeCell ref="C33:C34"/>
    <mergeCell ref="D33:D34"/>
    <mergeCell ref="E33:E34"/>
    <mergeCell ref="F33:F34"/>
  </mergeCells>
  <conditionalFormatting sqref="H34:W34">
    <cfRule type="containsBlanks" priority="19" stopIfTrue="1">
      <formula>LEN(TRIM(H34))=0</formula>
    </cfRule>
  </conditionalFormatting>
  <conditionalFormatting sqref="D27:F27 D28">
    <cfRule type="cellIs" dxfId="86" priority="17" operator="equal">
      <formula>"YES"</formula>
    </cfRule>
    <cfRule type="cellIs" dxfId="85" priority="18" operator="equal">
      <formula>"NO"</formula>
    </cfRule>
  </conditionalFormatting>
  <conditionalFormatting sqref="H27:I28 L27:M28 P27:Q28 T27:U28">
    <cfRule type="cellIs" dxfId="84" priority="15" operator="equal">
      <formula>"YES"</formula>
    </cfRule>
    <cfRule type="cellIs" dxfId="83" priority="16" operator="equal">
      <formula>"NO"</formula>
    </cfRule>
  </conditionalFormatting>
  <conditionalFormatting sqref="J27:K28 N27:O28 R27:S28 V27:W28">
    <cfRule type="cellIs" dxfId="82" priority="13" operator="equal">
      <formula>"YES"</formula>
    </cfRule>
    <cfRule type="cellIs" dxfId="81" priority="14" operator="equal">
      <formula>"NO"</formula>
    </cfRule>
  </conditionalFormatting>
  <conditionalFormatting sqref="A43:A234 A41">
    <cfRule type="expression" dxfId="80" priority="12">
      <formula>COUNTA($A33:$A234)=0</formula>
    </cfRule>
  </conditionalFormatting>
  <conditionalFormatting sqref="D21:F21">
    <cfRule type="cellIs" dxfId="79" priority="11" operator="greaterThan">
      <formula>0</formula>
    </cfRule>
  </conditionalFormatting>
  <conditionalFormatting sqref="H21:I21">
    <cfRule type="cellIs" dxfId="78" priority="10" operator="greaterThan">
      <formula>0</formula>
    </cfRule>
  </conditionalFormatting>
  <conditionalFormatting sqref="J21:W21">
    <cfRule type="cellIs" dxfId="77" priority="9" operator="greaterThan">
      <formula>0</formula>
    </cfRule>
  </conditionalFormatting>
  <conditionalFormatting sqref="D16:F16">
    <cfRule type="cellIs" dxfId="76" priority="8" operator="greaterThan">
      <formula>0</formula>
    </cfRule>
  </conditionalFormatting>
  <conditionalFormatting sqref="H16:I16">
    <cfRule type="cellIs" dxfId="75" priority="7" operator="greaterThan">
      <formula>0</formula>
    </cfRule>
  </conditionalFormatting>
  <conditionalFormatting sqref="J16:W16">
    <cfRule type="cellIs" dxfId="74" priority="6" operator="greaterThan">
      <formula>0</formula>
    </cfRule>
  </conditionalFormatting>
  <conditionalFormatting sqref="D35:F234">
    <cfRule type="cellIs" dxfId="73" priority="5" operator="equal">
      <formula>"FAIL"</formula>
    </cfRule>
  </conditionalFormatting>
  <conditionalFormatting sqref="F35:F40">
    <cfRule type="cellIs" dxfId="72" priority="4" operator="equal">
      <formula>"FCD"</formula>
    </cfRule>
  </conditionalFormatting>
  <conditionalFormatting sqref="F35:F234">
    <cfRule type="cellIs" dxfId="71" priority="3" operator="equal">
      <formula>"FCD"</formula>
    </cfRule>
  </conditionalFormatting>
  <conditionalFormatting sqref="H91:W234">
    <cfRule type="expression" dxfId="70" priority="2">
      <formula>"A2&lt;$D$28&amp;A2&gt;0"</formula>
    </cfRule>
  </conditionalFormatting>
  <conditionalFormatting sqref="A42">
    <cfRule type="expression" dxfId="69" priority="20">
      <formula>COUNTA($A33:$A235)=0</formula>
    </cfRule>
  </conditionalFormatting>
  <conditionalFormatting sqref="H35:W90">
    <cfRule type="cellIs" dxfId="68" priority="1" operator="lessThan">
      <formula>18</formula>
    </cfRule>
  </conditionalFormatting>
  <printOptions horizontalCentered="1"/>
  <pageMargins left="0" right="0" top="0.55118110236220474" bottom="0" header="0" footer="0"/>
  <pageSetup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4"/>
  <sheetViews>
    <sheetView view="pageLayout" topLeftCell="A7" zoomScale="80" zoomScaleNormal="100" zoomScalePageLayoutView="80" workbookViewId="0">
      <selection activeCell="T20" sqref="T20:U20"/>
    </sheetView>
  </sheetViews>
  <sheetFormatPr defaultRowHeight="14.6" x14ac:dyDescent="0.4"/>
  <cols>
    <col min="1" max="1" width="4" style="1" customWidth="1"/>
    <col min="2" max="2" width="12.921875" style="1" customWidth="1"/>
    <col min="3" max="3" width="17.07421875" style="1" customWidth="1"/>
    <col min="4" max="4" width="7" style="1" customWidth="1"/>
    <col min="5" max="5" width="6.23046875" style="1" customWidth="1"/>
    <col min="6" max="6" width="5.84375" style="1" customWidth="1"/>
    <col min="7" max="7" width="1.3046875" style="1" customWidth="1"/>
    <col min="8" max="8" width="4.23046875" style="3" customWidth="1"/>
    <col min="9" max="9" width="3.84375" style="3" customWidth="1"/>
    <col min="10" max="10" width="4" style="3" customWidth="1"/>
    <col min="11" max="13" width="3.69140625" style="3" customWidth="1"/>
    <col min="14" max="14" width="4.07421875" style="3" customWidth="1"/>
    <col min="15" max="15" width="3.4609375" style="3" customWidth="1"/>
    <col min="16" max="16" width="3.765625" style="3" customWidth="1"/>
    <col min="17" max="17" width="4.3046875" style="3" customWidth="1"/>
    <col min="18" max="18" width="3.69140625" style="3" customWidth="1"/>
    <col min="19" max="19" width="4.4609375" style="3" customWidth="1"/>
    <col min="20" max="20" width="4.53515625" style="3" customWidth="1"/>
    <col min="21" max="21" width="4.23046875" style="3" customWidth="1"/>
    <col min="22" max="22" width="5.69140625" style="3" customWidth="1"/>
    <col min="23" max="23" width="5.3046875" style="3" customWidth="1"/>
    <col min="24" max="24" width="7.3046875" style="3" customWidth="1"/>
    <col min="25" max="25" width="7.07421875" style="3" customWidth="1"/>
    <col min="26" max="26" width="6.23046875" customWidth="1"/>
  </cols>
  <sheetData>
    <row r="1" spans="1:25" ht="75" customHeight="1" x14ac:dyDescent="0.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38"/>
      <c r="Y1" s="38"/>
    </row>
    <row r="2" spans="1:25" ht="25.75" x14ac:dyDescent="0.7">
      <c r="A2" s="151" t="s">
        <v>44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39"/>
      <c r="Y2" s="39"/>
    </row>
    <row r="3" spans="1:25" ht="18" customHeight="1" x14ac:dyDescent="0.45">
      <c r="A3" s="152" t="s">
        <v>173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40"/>
      <c r="Y3" s="40"/>
    </row>
    <row r="4" spans="1:25" ht="4.2" customHeight="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45" x14ac:dyDescent="0.4">
      <c r="A5" s="28" t="s">
        <v>1</v>
      </c>
      <c r="B5" s="28" t="s">
        <v>2</v>
      </c>
      <c r="C5" s="53" t="s">
        <v>3</v>
      </c>
      <c r="D5" s="53"/>
      <c r="E5" s="15"/>
      <c r="F5" s="29" t="s">
        <v>4</v>
      </c>
      <c r="G5" s="28"/>
      <c r="H5" s="18"/>
      <c r="I5" s="28"/>
      <c r="J5" s="28"/>
      <c r="K5" s="18"/>
      <c r="L5" s="18"/>
      <c r="M5" s="37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ht="17.600000000000001" x14ac:dyDescent="0.4">
      <c r="A6" s="46">
        <f>IF(B6&lt;&gt;"",COUNTA($B6:B$6),"")</f>
        <v>1</v>
      </c>
      <c r="B6" s="47" t="s">
        <v>174</v>
      </c>
      <c r="C6" s="48" t="s">
        <v>175</v>
      </c>
      <c r="D6" s="5"/>
      <c r="E6" s="5"/>
      <c r="F6" s="5" t="s">
        <v>194</v>
      </c>
      <c r="G6" s="5"/>
      <c r="H6" s="5"/>
      <c r="I6" s="5"/>
      <c r="J6" s="5"/>
      <c r="K6" s="20"/>
      <c r="L6" s="21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17.600000000000001" x14ac:dyDescent="0.4">
      <c r="A7" s="37">
        <f>IF(B7&lt;&gt;"",COUNTA($B$6:B7),"")</f>
        <v>2</v>
      </c>
      <c r="B7" s="47" t="s">
        <v>176</v>
      </c>
      <c r="C7" s="48" t="s">
        <v>177</v>
      </c>
      <c r="D7" s="48"/>
      <c r="E7" s="48"/>
      <c r="F7" s="48" t="s">
        <v>195</v>
      </c>
      <c r="G7" s="48"/>
      <c r="H7" s="48"/>
      <c r="I7" s="48"/>
      <c r="J7" s="48"/>
      <c r="K7" s="20"/>
      <c r="L7" s="21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ht="17.600000000000001" x14ac:dyDescent="0.4">
      <c r="A8" s="37">
        <f>IF(B8&lt;&gt;"",COUNTA($B$6:B8),"")</f>
        <v>3</v>
      </c>
      <c r="B8" s="47" t="s">
        <v>178</v>
      </c>
      <c r="C8" s="48" t="s">
        <v>179</v>
      </c>
      <c r="D8" s="48"/>
      <c r="E8" s="48"/>
      <c r="F8" s="48" t="s">
        <v>196</v>
      </c>
      <c r="G8" s="48"/>
      <c r="H8" s="48"/>
      <c r="I8" s="48"/>
      <c r="J8" s="48"/>
      <c r="K8" s="20"/>
      <c r="L8" s="21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17.600000000000001" x14ac:dyDescent="0.4">
      <c r="A9" s="37">
        <f>IF(B9&lt;&gt;"",COUNTA($B$6:B9),"")</f>
        <v>4</v>
      </c>
      <c r="B9" s="47" t="s">
        <v>180</v>
      </c>
      <c r="C9" s="48" t="s">
        <v>181</v>
      </c>
      <c r="D9" s="48"/>
      <c r="E9" s="48"/>
      <c r="F9" s="48" t="s">
        <v>197</v>
      </c>
      <c r="G9" s="48"/>
      <c r="H9" s="48"/>
      <c r="I9" s="48"/>
      <c r="J9" s="48"/>
      <c r="K9" s="20"/>
      <c r="L9" s="21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7.600000000000001" x14ac:dyDescent="0.4">
      <c r="A10" s="37">
        <f>IF(B10&lt;&gt;"",COUNTA($B$6:B10),"")</f>
        <v>5</v>
      </c>
      <c r="B10" s="47" t="s">
        <v>182</v>
      </c>
      <c r="C10" s="48" t="s">
        <v>183</v>
      </c>
      <c r="D10" s="48"/>
      <c r="E10" s="48"/>
      <c r="F10" s="48" t="s">
        <v>195</v>
      </c>
      <c r="G10" s="48"/>
      <c r="H10" s="48"/>
      <c r="I10" s="48"/>
      <c r="J10" s="48"/>
      <c r="K10" s="20"/>
      <c r="L10" s="21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600000000000001" x14ac:dyDescent="0.4">
      <c r="A11" s="37">
        <f>IF(B11&lt;&gt;"",COUNTA($B$6:B11),"")</f>
        <v>6</v>
      </c>
      <c r="B11" s="47" t="s">
        <v>184</v>
      </c>
      <c r="C11" s="56" t="s">
        <v>185</v>
      </c>
      <c r="D11" s="48"/>
      <c r="E11" s="48"/>
      <c r="F11" s="48" t="s">
        <v>198</v>
      </c>
      <c r="G11" s="48"/>
      <c r="H11" s="48"/>
      <c r="I11" s="48"/>
      <c r="J11" s="48"/>
      <c r="K11" s="20"/>
      <c r="L11" s="21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7.600000000000001" x14ac:dyDescent="0.4">
      <c r="A12" s="37">
        <f>IF(B12&lt;&gt;"",COUNTA($B$6:B12),"")</f>
        <v>7</v>
      </c>
      <c r="B12" s="47" t="s">
        <v>186</v>
      </c>
      <c r="C12" s="48" t="s">
        <v>187</v>
      </c>
      <c r="D12" s="48"/>
      <c r="E12" s="48"/>
      <c r="F12" s="48" t="s">
        <v>199</v>
      </c>
      <c r="G12" s="48"/>
      <c r="H12" s="48"/>
      <c r="I12" s="48"/>
      <c r="J12" s="48"/>
      <c r="K12" s="20"/>
      <c r="L12" s="21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7.600000000000001" x14ac:dyDescent="0.4">
      <c r="A13" s="37">
        <f>IF(B13&lt;&gt;"",COUNTA($B$6:B13),"")</f>
        <v>8</v>
      </c>
      <c r="B13" s="47" t="s">
        <v>188</v>
      </c>
      <c r="C13" s="48" t="s">
        <v>189</v>
      </c>
      <c r="D13" s="48"/>
      <c r="E13" s="48"/>
      <c r="F13" s="48" t="s">
        <v>197</v>
      </c>
      <c r="G13" s="48"/>
      <c r="H13" s="48"/>
      <c r="I13" s="48"/>
      <c r="J13" s="48"/>
      <c r="K13" s="20"/>
      <c r="L13" s="21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5.45" x14ac:dyDescent="0.4">
      <c r="A14" s="37">
        <f>IF(B14&lt;&gt;"",COUNTA($B$6:B14),"")</f>
        <v>9</v>
      </c>
      <c r="B14" s="47" t="s">
        <v>190</v>
      </c>
      <c r="C14" s="48" t="s">
        <v>191</v>
      </c>
      <c r="D14" s="48"/>
      <c r="E14" s="48"/>
      <c r="F14" s="47" t="s">
        <v>200</v>
      </c>
      <c r="G14" s="48"/>
      <c r="H14" s="51"/>
      <c r="I14" s="48"/>
      <c r="J14" s="48"/>
      <c r="K14" s="20"/>
      <c r="L14" s="24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5.45" x14ac:dyDescent="0.4">
      <c r="A15" s="37">
        <v>10</v>
      </c>
      <c r="B15" s="47" t="s">
        <v>192</v>
      </c>
      <c r="C15" s="48" t="s">
        <v>193</v>
      </c>
      <c r="D15" s="48"/>
      <c r="E15" s="48"/>
      <c r="F15" s="47" t="s">
        <v>200</v>
      </c>
      <c r="G15" s="48"/>
      <c r="H15" s="51"/>
      <c r="I15" s="48"/>
      <c r="J15" s="48"/>
      <c r="K15" s="20"/>
      <c r="L15" s="24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71"/>
    </row>
    <row r="16" spans="1:25" ht="22.2" customHeight="1" x14ac:dyDescent="0.4">
      <c r="A16" s="153" t="s">
        <v>5</v>
      </c>
      <c r="B16" s="153"/>
      <c r="C16" s="153"/>
      <c r="D16" s="154" t="s">
        <v>6</v>
      </c>
      <c r="E16" s="155"/>
      <c r="F16" s="156"/>
      <c r="G16" s="12"/>
      <c r="H16" s="157" t="str">
        <f>IF(B6=0,"",B6)</f>
        <v>MATEC301</v>
      </c>
      <c r="I16" s="157"/>
      <c r="J16" s="157" t="str">
        <f>IF(B7=0,"",B7)</f>
        <v>BEC302</v>
      </c>
      <c r="K16" s="157"/>
      <c r="L16" s="157" t="str">
        <f>IF(B8=0,"",B8)</f>
        <v>BEC303</v>
      </c>
      <c r="M16" s="157"/>
      <c r="N16" s="157" t="str">
        <f>IF(B9=0,"",B9)</f>
        <v>BEC304</v>
      </c>
      <c r="O16" s="157"/>
      <c r="P16" s="157" t="str">
        <f>IF(B10=0,"",B10)</f>
        <v>BECL305</v>
      </c>
      <c r="Q16" s="157"/>
      <c r="R16" s="157" t="str">
        <f>IF(B11=0,"",B11)</f>
        <v>BEC306C</v>
      </c>
      <c r="S16" s="157"/>
      <c r="T16" s="157" t="str">
        <f>IF(B12=0,"",B12)</f>
        <v>BSCK307</v>
      </c>
      <c r="U16" s="157"/>
      <c r="V16" s="157" t="str">
        <f>IF(B13=0,"",B13)</f>
        <v>BEC358C</v>
      </c>
      <c r="W16" s="158"/>
      <c r="X16" s="75" t="str">
        <f>B14</f>
        <v>BNSK359</v>
      </c>
      <c r="Y16" s="75" t="str">
        <f>B15</f>
        <v>BPEK359</v>
      </c>
    </row>
    <row r="17" spans="1:25" ht="14.4" customHeight="1" x14ac:dyDescent="0.4">
      <c r="A17" s="9" t="s">
        <v>7</v>
      </c>
      <c r="B17" s="9"/>
      <c r="C17" s="9"/>
      <c r="D17" s="159">
        <f>(D18/E19)*100</f>
        <v>46.031746031746032</v>
      </c>
      <c r="E17" s="159"/>
      <c r="F17" s="159"/>
      <c r="G17" s="52"/>
      <c r="H17" s="160">
        <f>IFERROR((H18/H19)*100,"")</f>
        <v>64.516129032258064</v>
      </c>
      <c r="I17" s="160"/>
      <c r="J17" s="160">
        <f>IFERROR((J18/J19)*100,"")</f>
        <v>98.412698412698404</v>
      </c>
      <c r="K17" s="160"/>
      <c r="L17" s="160">
        <f>IFERROR((L18/L19)*100,"")</f>
        <v>84.126984126984127</v>
      </c>
      <c r="M17" s="160"/>
      <c r="N17" s="160">
        <f>IFERROR((N18/N19)*100,"")</f>
        <v>56.451612903225815</v>
      </c>
      <c r="O17" s="160"/>
      <c r="P17" s="160">
        <f>IFERROR((P18/P19)*100,"")</f>
        <v>96.825396825396822</v>
      </c>
      <c r="Q17" s="160"/>
      <c r="R17" s="160">
        <f>IFERROR((R18/R19)*100,"")</f>
        <v>85.483870967741936</v>
      </c>
      <c r="S17" s="160"/>
      <c r="T17" s="160">
        <f>IFERROR((T18/T19)*100,"")</f>
        <v>100</v>
      </c>
      <c r="U17" s="160"/>
      <c r="V17" s="160">
        <f>IFERROR((V18/V19)*100, "")</f>
        <v>100</v>
      </c>
      <c r="W17" s="160"/>
      <c r="X17" s="70">
        <f>IFERROR((X18/X19)*100, "")</f>
        <v>100</v>
      </c>
      <c r="Y17" s="70">
        <f>IFERROR((Y18/Y19)*100, "")</f>
        <v>100</v>
      </c>
    </row>
    <row r="18" spans="1:25" ht="14.4" customHeight="1" x14ac:dyDescent="0.4">
      <c r="A18" s="10" t="s">
        <v>8</v>
      </c>
      <c r="B18" s="10"/>
      <c r="C18" s="10"/>
      <c r="D18" s="161">
        <f>COUNTIF(E35:E234,"PASS")</f>
        <v>29</v>
      </c>
      <c r="E18" s="161"/>
      <c r="F18" s="161"/>
      <c r="G18" s="8"/>
      <c r="H18" s="137">
        <f>COUNTIF(I35:I234,"&gt;=18")</f>
        <v>40</v>
      </c>
      <c r="I18" s="137"/>
      <c r="J18" s="137">
        <f>COUNTIF(K35:K234,"&gt;=18")</f>
        <v>62</v>
      </c>
      <c r="K18" s="137"/>
      <c r="L18" s="137">
        <f>COUNTIF(M35:M234,"&gt;=18")</f>
        <v>53</v>
      </c>
      <c r="M18" s="137"/>
      <c r="N18" s="137">
        <f>COUNTIF(O35:O234,"&gt;=18")</f>
        <v>35</v>
      </c>
      <c r="O18" s="137"/>
      <c r="P18" s="137">
        <f>COUNTIF(Q35:Q234,"&gt;=18")</f>
        <v>61</v>
      </c>
      <c r="Q18" s="137"/>
      <c r="R18" s="137">
        <f>COUNTIF(S35:S234,"&gt;=18")</f>
        <v>53</v>
      </c>
      <c r="S18" s="137"/>
      <c r="T18" s="137">
        <f>COUNTIF(U35:U234,"&gt;=18")</f>
        <v>63</v>
      </c>
      <c r="U18" s="137"/>
      <c r="V18" s="137">
        <f>COUNTIF(W35:W234,"&gt;=18")</f>
        <v>63</v>
      </c>
      <c r="W18" s="137"/>
      <c r="X18" s="44">
        <f>COUNTIF(X35:X234,"&gt;=18")</f>
        <v>57</v>
      </c>
      <c r="Y18" s="45">
        <f>COUNTIF(Y35:Y234,"&gt;=18")</f>
        <v>6</v>
      </c>
    </row>
    <row r="19" spans="1:25" ht="14.4" customHeight="1" x14ac:dyDescent="0.4">
      <c r="A19" s="10" t="s">
        <v>9</v>
      </c>
      <c r="B19" s="10"/>
      <c r="C19" s="11"/>
      <c r="D19" s="55"/>
      <c r="E19" s="54">
        <f>COUNT(D35:D234)</f>
        <v>63</v>
      </c>
      <c r="F19" s="50"/>
      <c r="G19" s="27"/>
      <c r="H19" s="137">
        <f>COUNT(I35:I234)</f>
        <v>62</v>
      </c>
      <c r="I19" s="137"/>
      <c r="J19" s="137">
        <f>COUNT(K35:K234)</f>
        <v>63</v>
      </c>
      <c r="K19" s="137"/>
      <c r="L19" s="137">
        <f>COUNT(M35:M234)</f>
        <v>63</v>
      </c>
      <c r="M19" s="137"/>
      <c r="N19" s="137">
        <f>COUNT(O35:O234)</f>
        <v>62</v>
      </c>
      <c r="O19" s="137"/>
      <c r="P19" s="137">
        <f>COUNT(Q35:Q234)</f>
        <v>63</v>
      </c>
      <c r="Q19" s="137"/>
      <c r="R19" s="137">
        <f>COUNT(S35:S234)</f>
        <v>62</v>
      </c>
      <c r="S19" s="137"/>
      <c r="T19" s="137">
        <f>COUNT(U35:U234)</f>
        <v>63</v>
      </c>
      <c r="U19" s="137"/>
      <c r="V19" s="137">
        <f>COUNT(W35:W234)</f>
        <v>63</v>
      </c>
      <c r="W19" s="137"/>
      <c r="X19" s="43">
        <f>COUNT(X35:X234)</f>
        <v>57</v>
      </c>
      <c r="Y19" s="43">
        <f>COUNT(Y35:Y234)</f>
        <v>6</v>
      </c>
    </row>
    <row r="20" spans="1:25" ht="14.4" customHeight="1" x14ac:dyDescent="0.4">
      <c r="A20" s="10" t="s">
        <v>10</v>
      </c>
      <c r="B20" s="10"/>
      <c r="C20" s="11"/>
      <c r="D20" s="55"/>
      <c r="E20" s="54">
        <f>COUNTIF(F35:F234,"FCD")</f>
        <v>26</v>
      </c>
      <c r="F20" s="50"/>
      <c r="G20" s="27"/>
      <c r="H20" s="137">
        <f>SUMPRODUCT(--(H35:H234 + I35:I234 &gt;= 70))</f>
        <v>8</v>
      </c>
      <c r="I20" s="137"/>
      <c r="J20" s="162">
        <f>SUMPRODUCT(--(J35:J234 + K35:K234 &gt;= 70))</f>
        <v>32</v>
      </c>
      <c r="K20" s="162"/>
      <c r="L20" s="137">
        <f t="shared" ref="L20" si="0">SUMPRODUCT(--(L35:L234 + M35:M234 &gt;= 70))</f>
        <v>4</v>
      </c>
      <c r="M20" s="137"/>
      <c r="N20" s="137">
        <f t="shared" ref="N20" si="1">SUMPRODUCT(--(N35:N234 + O35:O234 &gt;= 70))</f>
        <v>2</v>
      </c>
      <c r="O20" s="137"/>
      <c r="P20" s="137">
        <f t="shared" ref="P20" si="2">SUMPRODUCT(--(P35:P234 + Q35:Q234 &gt;= 70))</f>
        <v>42</v>
      </c>
      <c r="Q20" s="137"/>
      <c r="R20" s="137">
        <f t="shared" ref="R20" si="3">SUMPRODUCT(--(R35:R234 + S35:S234 &gt;= 70))</f>
        <v>26</v>
      </c>
      <c r="S20" s="137"/>
      <c r="T20" s="137">
        <f>SUMPRODUCT(--(U35:U234 &gt;= 70))</f>
        <v>62</v>
      </c>
      <c r="U20" s="137"/>
      <c r="V20" s="137">
        <f t="shared" ref="V20" si="4">SUMPRODUCT(--(V35:V234 + W35:W234 &gt;= 70))</f>
        <v>51</v>
      </c>
      <c r="W20" s="137"/>
      <c r="X20" s="43">
        <f>SUMPRODUCT(--(ISNUMBER(X35:X234)) &gt;= 70)</f>
        <v>0</v>
      </c>
      <c r="Y20" s="43">
        <f>SUMPRODUCT(--(ISNUMBER(Y35:Y234)) &gt;= 70)</f>
        <v>0</v>
      </c>
    </row>
    <row r="21" spans="1:25" ht="14.4" customHeight="1" x14ac:dyDescent="0.4">
      <c r="A21" s="10" t="s">
        <v>11</v>
      </c>
      <c r="B21" s="10"/>
      <c r="C21" s="11"/>
      <c r="D21" s="55"/>
      <c r="E21" s="54">
        <f>COUNTIF(F35:F234,"FC")</f>
        <v>3</v>
      </c>
      <c r="F21" s="50"/>
      <c r="G21" s="27"/>
      <c r="H21" s="137">
        <f>SUMPRODUCT(--((H35:H234 + I35:I234) &gt;=60), --((H35:H234 + I35:I234) &lt; 70))</f>
        <v>12</v>
      </c>
      <c r="I21" s="137"/>
      <c r="J21" s="137">
        <f t="shared" ref="J21" si="5">SUMPRODUCT(--((J35:J234 + K35:K234) &gt;=60), --((J35:J234 + K35:K234) &lt; 70))</f>
        <v>14</v>
      </c>
      <c r="K21" s="137"/>
      <c r="L21" s="137">
        <f t="shared" ref="L21" si="6">SUMPRODUCT(--((L35:L234 + M35:M234) &gt;=60), --((L35:L234 + M35:M234) &lt; 70))</f>
        <v>12</v>
      </c>
      <c r="M21" s="137"/>
      <c r="N21" s="137">
        <f t="shared" ref="N21" si="7">SUMPRODUCT(--((N35:N234 + O35:O234) &gt;=60), --((N35:N234 + O35:O234) &lt; 70))</f>
        <v>8</v>
      </c>
      <c r="O21" s="137"/>
      <c r="P21" s="137">
        <f t="shared" ref="P21" si="8">SUMPRODUCT(--((P35:P234 + Q35:Q234) &gt;=60), --((P35:P234 + Q35:Q234) &lt; 70))</f>
        <v>8</v>
      </c>
      <c r="Q21" s="137"/>
      <c r="R21" s="137">
        <f t="shared" ref="R21" si="9">SUMPRODUCT(--((R35:R234 + S35:S234) &gt;=60), --((R35:R234 + S35:S234) &lt; 70))</f>
        <v>24</v>
      </c>
      <c r="S21" s="137"/>
      <c r="T21" s="137">
        <f>SUMPRODUCT(--((U35:U234) &gt;=60), --((U35:U234) &lt; 70))</f>
        <v>1</v>
      </c>
      <c r="U21" s="137"/>
      <c r="V21" s="137">
        <f t="shared" ref="V21" si="10">SUMPRODUCT(--((V35:V234 + W35:W234) &gt;=60), --((V35:V234 + W35:W234) &lt; 70))</f>
        <v>7</v>
      </c>
      <c r="W21" s="137"/>
      <c r="X21" s="43">
        <f>SUMPRODUCT(--((X35:X234) &gt;=60), --((X35:X234) &lt; 70))</f>
        <v>0</v>
      </c>
      <c r="Y21" s="43">
        <f>SUMPRODUCT(--((Y35:Y234) &gt;=60), --((Y35:Y234) &lt; 70))</f>
        <v>0</v>
      </c>
    </row>
    <row r="22" spans="1:25" ht="14.4" customHeight="1" x14ac:dyDescent="0.4">
      <c r="A22" s="10" t="s">
        <v>12</v>
      </c>
      <c r="B22" s="10"/>
      <c r="C22" s="11"/>
      <c r="D22" s="55"/>
      <c r="E22" s="54">
        <f>COUNTIF(F35:F234,"SC")</f>
        <v>0</v>
      </c>
      <c r="F22" s="50"/>
      <c r="G22" s="27"/>
      <c r="H22" s="137">
        <f>SUMPRODUCT(--((H35:H234 + I35:I234) &gt; 0), --((H35:H234 + I35:I234) &lt; 60))</f>
        <v>43</v>
      </c>
      <c r="I22" s="137"/>
      <c r="J22" s="137">
        <f t="shared" ref="J22" si="11">SUMPRODUCT(--((J35:J234 + K35:K234) &gt; 0), --((J35:J234 + K35:K234) &lt; 60))</f>
        <v>17</v>
      </c>
      <c r="K22" s="137"/>
      <c r="L22" s="137">
        <f t="shared" ref="L22" si="12">SUMPRODUCT(--((L35:L234 + M35:M234) &gt; 0), --((L35:L234 + M35:M234) &lt; 60))</f>
        <v>47</v>
      </c>
      <c r="M22" s="137"/>
      <c r="N22" s="137">
        <f t="shared" ref="N22" si="13">SUMPRODUCT(--((N35:N234 + O35:O234) &gt; 0), --((N35:N234 + O35:O234) &lt; 60))</f>
        <v>53</v>
      </c>
      <c r="O22" s="137"/>
      <c r="P22" s="137">
        <f t="shared" ref="P22" si="14">SUMPRODUCT(--((P35:P234 + Q35:Q234) &gt; 0), --((P35:P234 + Q35:Q234) &lt; 60))</f>
        <v>13</v>
      </c>
      <c r="Q22" s="137"/>
      <c r="R22" s="137">
        <f t="shared" ref="R22" si="15">SUMPRODUCT(--((R35:R234 + S35:S234) &gt; 0), --((R35:R234 + S35:S234) &lt; 60))</f>
        <v>13</v>
      </c>
      <c r="S22" s="137"/>
      <c r="T22" s="137">
        <f>SUMPRODUCT(--((U35:U234) &gt; 0), --((U35:U234) &lt; 60))</f>
        <v>0</v>
      </c>
      <c r="U22" s="137"/>
      <c r="V22" s="137">
        <f t="shared" ref="V22" si="16">SUMPRODUCT(--((V35:V234 + W35:W234) &gt; 0), --((V35:V234 + W35:W234) &lt; 60))</f>
        <v>5</v>
      </c>
      <c r="W22" s="137"/>
      <c r="X22" s="43">
        <f>SUMPRODUCT(--((X35:X234) &gt; 0), --((X35:X234) &lt; 60))</f>
        <v>0</v>
      </c>
      <c r="Y22" s="43">
        <f>SUMPRODUCT(--((Y35:Y234) &gt; 0), --((Y35:Y234) &lt; 60))</f>
        <v>0</v>
      </c>
    </row>
    <row r="23" spans="1:25" ht="14.4" customHeight="1" x14ac:dyDescent="0.4">
      <c r="A23" s="10" t="s">
        <v>13</v>
      </c>
      <c r="B23" s="10"/>
      <c r="C23" s="11"/>
      <c r="D23" s="55"/>
      <c r="E23" s="54">
        <f>COUNTIF(E35:E234,"FAIL")</f>
        <v>34</v>
      </c>
      <c r="F23" s="50"/>
      <c r="G23" s="27"/>
      <c r="H23" s="138">
        <f>COUNTIF(I35:I234,"&lt;18")</f>
        <v>22</v>
      </c>
      <c r="I23" s="139"/>
      <c r="J23" s="138">
        <f>COUNTIF(K35:K234,"&lt;18")</f>
        <v>1</v>
      </c>
      <c r="K23" s="139"/>
      <c r="L23" s="138">
        <f>COUNTIF(M35:M234,"&lt;18")</f>
        <v>10</v>
      </c>
      <c r="M23" s="139"/>
      <c r="N23" s="138">
        <f>COUNTIF(O35:O234,"&lt;18")</f>
        <v>27</v>
      </c>
      <c r="O23" s="139"/>
      <c r="P23" s="138">
        <f>COUNTIF(Q35:Q234,"&lt;18")</f>
        <v>2</v>
      </c>
      <c r="Q23" s="139"/>
      <c r="R23" s="138">
        <f>COUNTIF(S35:S234,"&lt;18")</f>
        <v>9</v>
      </c>
      <c r="S23" s="139"/>
      <c r="T23" s="138">
        <f>COUNTIF(U35:U234,"&lt;18")</f>
        <v>0</v>
      </c>
      <c r="U23" s="139"/>
      <c r="V23" s="138">
        <f>COUNTIF(W35:W234,"&lt;18")</f>
        <v>0</v>
      </c>
      <c r="W23" s="139"/>
      <c r="X23" s="43">
        <f>COUNTIF(X35:X234,"&lt;18")</f>
        <v>0</v>
      </c>
      <c r="Y23" s="43">
        <f>COUNTIF(Y35:Y234,"&lt;18")</f>
        <v>0</v>
      </c>
    </row>
    <row r="24" spans="1:25" ht="14.4" customHeight="1" x14ac:dyDescent="0.4">
      <c r="A24" s="148" t="s">
        <v>14</v>
      </c>
      <c r="B24" s="149"/>
      <c r="C24" s="150"/>
      <c r="D24" s="163">
        <f>MAX(D35:D234)</f>
        <v>92.222222222222229</v>
      </c>
      <c r="E24" s="163"/>
      <c r="F24" s="163"/>
      <c r="G24" s="8"/>
      <c r="H24" s="41">
        <f>MAX(H35:H234)</f>
        <v>50</v>
      </c>
      <c r="I24" s="41">
        <f>MAX(I35:I234)</f>
        <v>46</v>
      </c>
      <c r="J24" s="41">
        <f t="shared" ref="J24:W24" si="17">MAX(J35:J234)</f>
        <v>50</v>
      </c>
      <c r="K24" s="41">
        <f t="shared" si="17"/>
        <v>38</v>
      </c>
      <c r="L24" s="41">
        <f t="shared" si="17"/>
        <v>48</v>
      </c>
      <c r="M24" s="41">
        <f t="shared" si="17"/>
        <v>46</v>
      </c>
      <c r="N24" s="41">
        <f t="shared" si="17"/>
        <v>49</v>
      </c>
      <c r="O24" s="41">
        <f t="shared" si="17"/>
        <v>33</v>
      </c>
      <c r="P24" s="41">
        <f t="shared" si="17"/>
        <v>50</v>
      </c>
      <c r="Q24" s="41">
        <f t="shared" si="17"/>
        <v>48</v>
      </c>
      <c r="R24" s="41">
        <f t="shared" si="17"/>
        <v>50</v>
      </c>
      <c r="S24" s="41">
        <f t="shared" si="17"/>
        <v>40</v>
      </c>
      <c r="T24" s="41">
        <f>MAX(T35:T234)</f>
        <v>0</v>
      </c>
      <c r="U24" s="41">
        <f t="shared" si="17"/>
        <v>99</v>
      </c>
      <c r="V24" s="41">
        <f t="shared" si="17"/>
        <v>49</v>
      </c>
      <c r="W24" s="41">
        <f t="shared" si="17"/>
        <v>50</v>
      </c>
      <c r="X24" s="41">
        <f t="shared" ref="X24:Y24" si="18">MAX(X35:X234)</f>
        <v>100</v>
      </c>
      <c r="Y24" s="41">
        <f t="shared" si="18"/>
        <v>100</v>
      </c>
    </row>
    <row r="25" spans="1:25" ht="14.4" customHeight="1" x14ac:dyDescent="0.4">
      <c r="A25" s="148" t="s">
        <v>15</v>
      </c>
      <c r="B25" s="149"/>
      <c r="C25" s="150"/>
      <c r="D25" s="134">
        <f>MIN(D35:D234)</f>
        <v>46</v>
      </c>
      <c r="E25" s="134"/>
      <c r="F25" s="134"/>
      <c r="G25" s="8"/>
      <c r="H25" s="41">
        <f>MIN(H35:H234)</f>
        <v>22</v>
      </c>
      <c r="I25" s="41">
        <f t="shared" ref="I25:W25" si="19">MIN(I35:I234)</f>
        <v>2</v>
      </c>
      <c r="J25" s="41">
        <f t="shared" si="19"/>
        <v>25</v>
      </c>
      <c r="K25" s="41">
        <f t="shared" si="19"/>
        <v>7</v>
      </c>
      <c r="L25" s="41">
        <f t="shared" si="19"/>
        <v>20</v>
      </c>
      <c r="M25" s="41">
        <f t="shared" si="19"/>
        <v>2</v>
      </c>
      <c r="N25" s="41">
        <f t="shared" si="19"/>
        <v>21</v>
      </c>
      <c r="O25" s="41">
        <f t="shared" si="19"/>
        <v>3</v>
      </c>
      <c r="P25" s="41">
        <f t="shared" si="19"/>
        <v>22</v>
      </c>
      <c r="Q25" s="41">
        <f t="shared" si="19"/>
        <v>6</v>
      </c>
      <c r="R25" s="41">
        <f t="shared" si="19"/>
        <v>26</v>
      </c>
      <c r="S25" s="41">
        <f t="shared" si="19"/>
        <v>11</v>
      </c>
      <c r="T25" s="41">
        <f t="shared" si="19"/>
        <v>0</v>
      </c>
      <c r="U25" s="41">
        <f t="shared" si="19"/>
        <v>60</v>
      </c>
      <c r="V25" s="41">
        <f t="shared" si="19"/>
        <v>22</v>
      </c>
      <c r="W25" s="41">
        <f t="shared" si="19"/>
        <v>19</v>
      </c>
      <c r="X25" s="41">
        <f t="shared" ref="X25:Y25" si="20">MIN(X35:X234)</f>
        <v>100</v>
      </c>
      <c r="Y25" s="41">
        <f t="shared" si="20"/>
        <v>100</v>
      </c>
    </row>
    <row r="26" spans="1:25" ht="14.4" customHeight="1" x14ac:dyDescent="0.4">
      <c r="A26" s="148" t="s">
        <v>16</v>
      </c>
      <c r="B26" s="149"/>
      <c r="C26" s="150"/>
      <c r="D26" s="134">
        <f>MEDIAN(D35:D234)</f>
        <v>72.111111111111114</v>
      </c>
      <c r="E26" s="134"/>
      <c r="F26" s="134"/>
      <c r="G26" s="8"/>
      <c r="H26" s="41">
        <f t="shared" ref="H26:U26" si="21">IFERROR(MEDIAN(H35:H234),"")</f>
        <v>35</v>
      </c>
      <c r="I26" s="41">
        <f t="shared" si="21"/>
        <v>18</v>
      </c>
      <c r="J26" s="41">
        <f t="shared" si="21"/>
        <v>43</v>
      </c>
      <c r="K26" s="41">
        <f t="shared" si="21"/>
        <v>25</v>
      </c>
      <c r="L26" s="41">
        <f t="shared" si="21"/>
        <v>30</v>
      </c>
      <c r="M26" s="41">
        <f t="shared" si="21"/>
        <v>20</v>
      </c>
      <c r="N26" s="41">
        <f t="shared" si="21"/>
        <v>33</v>
      </c>
      <c r="O26" s="41">
        <f t="shared" si="21"/>
        <v>18</v>
      </c>
      <c r="P26" s="41">
        <f t="shared" si="21"/>
        <v>42</v>
      </c>
      <c r="Q26" s="41">
        <f t="shared" si="21"/>
        <v>35</v>
      </c>
      <c r="R26" s="41">
        <f t="shared" si="21"/>
        <v>45</v>
      </c>
      <c r="S26" s="41">
        <f t="shared" si="21"/>
        <v>23.5</v>
      </c>
      <c r="T26" s="41" t="str">
        <f t="shared" si="21"/>
        <v/>
      </c>
      <c r="U26" s="41">
        <f t="shared" si="21"/>
        <v>97</v>
      </c>
      <c r="V26" s="41">
        <f>IFERROR(MEDIAN(V35:V234), "")</f>
        <v>42</v>
      </c>
      <c r="W26" s="41">
        <f>IFERROR(MEDIAN(W35:W234),"")</f>
        <v>42</v>
      </c>
      <c r="X26" s="41">
        <f>IFERROR(MEDIAN(X35:X234), "")</f>
        <v>100</v>
      </c>
      <c r="Y26" s="41">
        <f>IFERROR(MEDIAN(Y35:Y234),"")</f>
        <v>100</v>
      </c>
    </row>
    <row r="27" spans="1:25" ht="14.4" customHeight="1" x14ac:dyDescent="0.4">
      <c r="A27" s="148" t="s">
        <v>17</v>
      </c>
      <c r="B27" s="149"/>
      <c r="C27" s="150"/>
      <c r="D27" s="134">
        <f>AVERAGE(D35:D234)</f>
        <v>70.924162257495567</v>
      </c>
      <c r="E27" s="134"/>
      <c r="F27" s="134"/>
      <c r="G27" s="8"/>
      <c r="H27" s="41">
        <f t="shared" ref="H27:W27" si="22">IFERROR(AVERAGE(H35:H234),"")</f>
        <v>34.698412698412696</v>
      </c>
      <c r="I27" s="41">
        <f t="shared" si="22"/>
        <v>18.43548387096774</v>
      </c>
      <c r="J27" s="41">
        <f t="shared" si="22"/>
        <v>41.031746031746032</v>
      </c>
      <c r="K27" s="41">
        <f t="shared" si="22"/>
        <v>26.238095238095237</v>
      </c>
      <c r="L27" s="41">
        <f t="shared" si="22"/>
        <v>30.746031746031747</v>
      </c>
      <c r="M27" s="41">
        <f t="shared" si="22"/>
        <v>20.730158730158731</v>
      </c>
      <c r="N27" s="41">
        <f t="shared" si="22"/>
        <v>33.428571428571431</v>
      </c>
      <c r="O27" s="41">
        <f t="shared" si="22"/>
        <v>15.435483870967742</v>
      </c>
      <c r="P27" s="41">
        <f t="shared" si="22"/>
        <v>39.079365079365083</v>
      </c>
      <c r="Q27" s="41">
        <f t="shared" si="22"/>
        <v>33.206349206349209</v>
      </c>
      <c r="R27" s="41">
        <f t="shared" si="22"/>
        <v>44.158730158730158</v>
      </c>
      <c r="S27" s="41">
        <f t="shared" si="22"/>
        <v>23.774193548387096</v>
      </c>
      <c r="T27" s="41" t="str">
        <f t="shared" si="22"/>
        <v/>
      </c>
      <c r="U27" s="41">
        <f t="shared" si="22"/>
        <v>96.285714285714292</v>
      </c>
      <c r="V27" s="41">
        <f t="shared" si="22"/>
        <v>41.047619047619051</v>
      </c>
      <c r="W27" s="41">
        <f t="shared" si="22"/>
        <v>40.936507936507937</v>
      </c>
      <c r="X27" s="73">
        <f t="shared" ref="X27:Y27" si="23">IFERROR(AVERAGE(X35:X234),"")</f>
        <v>100</v>
      </c>
      <c r="Y27" s="73">
        <f t="shared" si="23"/>
        <v>100</v>
      </c>
    </row>
    <row r="28" spans="1:25" ht="14.4" customHeight="1" x14ac:dyDescent="0.4">
      <c r="A28" s="148" t="s">
        <v>18</v>
      </c>
      <c r="B28" s="149"/>
      <c r="C28" s="150"/>
      <c r="D28" s="136">
        <v>85</v>
      </c>
      <c r="E28" s="136"/>
      <c r="F28" s="136"/>
      <c r="G28" s="8"/>
      <c r="H28" s="131">
        <v>85</v>
      </c>
      <c r="I28" s="131"/>
      <c r="J28" s="131">
        <v>85</v>
      </c>
      <c r="K28" s="131"/>
      <c r="L28" s="131">
        <v>85</v>
      </c>
      <c r="M28" s="131"/>
      <c r="N28" s="131">
        <v>85</v>
      </c>
      <c r="O28" s="131"/>
      <c r="P28" s="131">
        <v>100</v>
      </c>
      <c r="Q28" s="131"/>
      <c r="R28" s="131">
        <v>85</v>
      </c>
      <c r="S28" s="131"/>
      <c r="T28" s="131">
        <v>85</v>
      </c>
      <c r="U28" s="131"/>
      <c r="V28" s="131">
        <v>100</v>
      </c>
      <c r="W28" s="169"/>
      <c r="X28" s="74">
        <v>100</v>
      </c>
      <c r="Y28" s="74">
        <v>100</v>
      </c>
    </row>
    <row r="29" spans="1:25" ht="14.4" customHeight="1" x14ac:dyDescent="0.4">
      <c r="A29" s="148" t="s">
        <v>19</v>
      </c>
      <c r="B29" s="149"/>
      <c r="C29" s="150"/>
      <c r="D29" s="132" t="str">
        <f>IF(D17&gt;=D28, "YES","NO")</f>
        <v>NO</v>
      </c>
      <c r="E29" s="132"/>
      <c r="F29" s="132"/>
      <c r="G29" s="27"/>
      <c r="H29" s="132" t="str">
        <f>IF(H17&gt;=H28,"YES","NO")</f>
        <v>NO</v>
      </c>
      <c r="I29" s="132"/>
      <c r="J29" s="132" t="str">
        <f>IF(J17&gt;=J28,"YES","NO")</f>
        <v>YES</v>
      </c>
      <c r="K29" s="132"/>
      <c r="L29" s="132" t="str">
        <f t="shared" ref="L29" si="24">IF(L17&gt;=L28,"YES","NO")</f>
        <v>NO</v>
      </c>
      <c r="M29" s="132"/>
      <c r="N29" s="132" t="str">
        <f t="shared" ref="N29" si="25">IF(N17&gt;=N28,"YES","NO")</f>
        <v>NO</v>
      </c>
      <c r="O29" s="132"/>
      <c r="P29" s="132" t="str">
        <f t="shared" ref="P29" si="26">IF(P17&gt;=P28,"YES","NO")</f>
        <v>NO</v>
      </c>
      <c r="Q29" s="132"/>
      <c r="R29" s="132" t="str">
        <f t="shared" ref="R29" si="27">IF(R17&gt;=R28,"YES","NO")</f>
        <v>YES</v>
      </c>
      <c r="S29" s="132"/>
      <c r="T29" s="132" t="str">
        <f>IF(T17="","",IF(T17&gt;=T28,"YES","NO"))</f>
        <v>YES</v>
      </c>
      <c r="U29" s="132"/>
      <c r="V29" s="132" t="str">
        <f>IF(V17="","",IF(V17&gt;=V28,"YES","NO"))</f>
        <v>YES</v>
      </c>
      <c r="W29" s="170"/>
      <c r="X29" s="72" t="str">
        <f>IF(X17="","",IF(X17&gt;=X28,"YES","NO"))</f>
        <v>YES</v>
      </c>
      <c r="Y29" s="72" t="str">
        <f>IF(Y17="","",IF(Y17&gt;=Y28,"YES","NO"))</f>
        <v>YES</v>
      </c>
    </row>
    <row r="30" spans="1:25" ht="14.4" customHeight="1" x14ac:dyDescent="0.4">
      <c r="A30" s="148" t="s">
        <v>26</v>
      </c>
      <c r="B30" s="149"/>
      <c r="C30" s="150"/>
      <c r="D30" s="119">
        <v>18</v>
      </c>
      <c r="E30" s="120"/>
      <c r="F30" s="121"/>
      <c r="G30" s="7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4.4" customHeight="1" x14ac:dyDescent="0.4">
      <c r="A31" s="171" t="s">
        <v>27</v>
      </c>
      <c r="B31" s="172"/>
      <c r="C31" s="150"/>
      <c r="D31" s="119">
        <v>900</v>
      </c>
      <c r="E31" s="120"/>
      <c r="F31" s="121"/>
      <c r="G31" s="7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28" t="s">
        <v>20</v>
      </c>
      <c r="Y31" s="18"/>
    </row>
    <row r="32" spans="1:25" x14ac:dyDescent="0.4">
      <c r="A32" s="7"/>
      <c r="B32" s="7"/>
      <c r="C32" s="7"/>
      <c r="D32" s="7"/>
      <c r="E32" s="7"/>
      <c r="F32" s="7"/>
      <c r="G32" s="7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5"/>
      <c r="V32" s="18"/>
      <c r="W32" s="18"/>
      <c r="X32" s="18"/>
      <c r="Y32" s="18"/>
    </row>
    <row r="33" spans="1:25" x14ac:dyDescent="0.4">
      <c r="A33" s="164" t="s">
        <v>1</v>
      </c>
      <c r="B33" s="165" t="s">
        <v>22</v>
      </c>
      <c r="C33" s="123" t="s">
        <v>23</v>
      </c>
      <c r="D33" s="166" t="s">
        <v>24</v>
      </c>
      <c r="E33" s="168" t="s">
        <v>21</v>
      </c>
      <c r="F33" s="168" t="s">
        <v>25</v>
      </c>
      <c r="G33" s="42"/>
      <c r="H33" s="175" t="str">
        <f>IF(B6=0,"",B6)</f>
        <v>MATEC301</v>
      </c>
      <c r="I33" s="175"/>
      <c r="J33" s="175" t="str">
        <f>IF(B7=0,"",B7)</f>
        <v>BEC302</v>
      </c>
      <c r="K33" s="175"/>
      <c r="L33" s="175" t="str">
        <f>IF(B8=0,"",B8)</f>
        <v>BEC303</v>
      </c>
      <c r="M33" s="175"/>
      <c r="N33" s="175" t="str">
        <f>IF(B9=0,"",B9)</f>
        <v>BEC304</v>
      </c>
      <c r="O33" s="175"/>
      <c r="P33" s="175" t="str">
        <f>IF(B10=0,"",B10)</f>
        <v>BECL305</v>
      </c>
      <c r="Q33" s="175"/>
      <c r="R33" s="175" t="str">
        <f>IF(B11=0,"",B11)</f>
        <v>BEC306C</v>
      </c>
      <c r="S33" s="175"/>
      <c r="T33" s="175" t="str">
        <f>IF(B12=0,"",B12)</f>
        <v>BSCK307</v>
      </c>
      <c r="U33" s="175"/>
      <c r="V33" s="173" t="str">
        <f>B13</f>
        <v>BEC358C</v>
      </c>
      <c r="W33" s="174"/>
      <c r="X33" s="49" t="str">
        <f>B14</f>
        <v>BNSK359</v>
      </c>
      <c r="Y33" s="49" t="str">
        <f>B15</f>
        <v>BPEK359</v>
      </c>
    </row>
    <row r="34" spans="1:25" x14ac:dyDescent="0.4">
      <c r="A34" s="164"/>
      <c r="B34" s="165"/>
      <c r="C34" s="124"/>
      <c r="D34" s="167"/>
      <c r="E34" s="168"/>
      <c r="F34" s="168"/>
      <c r="G34" s="42"/>
      <c r="H34" s="31" t="str">
        <f>IF(B6=0,"","CIE")</f>
        <v>CIE</v>
      </c>
      <c r="I34" s="31" t="str">
        <f>IF(B6=0,"","SEE")</f>
        <v>SEE</v>
      </c>
      <c r="J34" s="31" t="str">
        <f>IF(B7=0,"","CIE")</f>
        <v>CIE</v>
      </c>
      <c r="K34" s="31" t="str">
        <f>IF(B7=0,"","SEE")</f>
        <v>SEE</v>
      </c>
      <c r="L34" s="31" t="str">
        <f>IF(B8=0,"","CIE")</f>
        <v>CIE</v>
      </c>
      <c r="M34" s="31" t="str">
        <f>IF(B8=0,"","SEE")</f>
        <v>SEE</v>
      </c>
      <c r="N34" s="31" t="str">
        <f>IF(B9=0,"","CIE")</f>
        <v>CIE</v>
      </c>
      <c r="O34" s="31" t="str">
        <f>IF(B9=0,"","SEE")</f>
        <v>SEE</v>
      </c>
      <c r="P34" s="31" t="str">
        <f>IF(B10=0,"","CIE")</f>
        <v>CIE</v>
      </c>
      <c r="Q34" s="31" t="str">
        <f>IF(B10=0,"","SEE")</f>
        <v>SEE</v>
      </c>
      <c r="R34" s="31" t="str">
        <f>IF(B11=0,"","CIE")</f>
        <v>CIE</v>
      </c>
      <c r="S34" s="31" t="str">
        <f>IF(B11=0,"","SEE")</f>
        <v>SEE</v>
      </c>
      <c r="T34" s="31" t="s">
        <v>203</v>
      </c>
      <c r="U34" s="31" t="s">
        <v>201</v>
      </c>
      <c r="V34" s="31" t="str">
        <f>IF(B14=0,"","CIE")</f>
        <v>CIE</v>
      </c>
      <c r="W34" s="31" t="s">
        <v>203</v>
      </c>
      <c r="X34" s="31" t="s">
        <v>201</v>
      </c>
      <c r="Y34" s="31" t="s">
        <v>201</v>
      </c>
    </row>
    <row r="35" spans="1:25" x14ac:dyDescent="0.4">
      <c r="A35" s="65">
        <f>IF(B35&lt;&gt;"",COUNTA($B35:B$35),"")</f>
        <v>1</v>
      </c>
      <c r="B35" s="96" t="s">
        <v>46</v>
      </c>
      <c r="C35" s="13" t="s">
        <v>47</v>
      </c>
      <c r="D35" s="33">
        <f>IF(C35="","",(SUM(H35:Y35)/D$31)*100)</f>
        <v>59.777777777777771</v>
      </c>
      <c r="E35" s="32" t="str">
        <f t="shared" ref="E35:E40" si="28">IF(ISBLANK(B35),"",IF(OR(AND(I35&lt;18, I35&lt;&gt;""),AND(K35&lt;18, K35&lt;&gt;""),AND(M35&lt;18, M35&lt;&gt;""),AND(O35&lt;18, O35&lt;&gt;""),AND(Q35&lt;18, Q35&lt;&gt;""),AND(S35&lt;18, S35&lt;&gt;""),AND(U35&lt;18, U35&lt;&gt;""),AND(W35&lt;18, W35&lt;&gt;"")),"FAIL","PASS"))</f>
        <v>FAIL</v>
      </c>
      <c r="F35" s="32" t="str">
        <f>IF(E35="Pass",G35, IF(E35="FAIL","FAIL",""))</f>
        <v>FAIL</v>
      </c>
      <c r="G35" s="34" t="str">
        <f t="shared" ref="G35:G98" si="29">IF(D35 = "", "", IF(D35 &gt;= 70, "FCD", IF(D35 &gt;= 60, "FC", IF(D35 &gt;= 35, "SC", ""))))</f>
        <v>SC</v>
      </c>
      <c r="H35" s="31">
        <v>22</v>
      </c>
      <c r="I35" s="31">
        <v>18</v>
      </c>
      <c r="J35" s="31">
        <v>29</v>
      </c>
      <c r="K35" s="31">
        <v>18</v>
      </c>
      <c r="L35" s="31">
        <v>21</v>
      </c>
      <c r="M35" s="31">
        <v>7</v>
      </c>
      <c r="N35" s="31">
        <v>34</v>
      </c>
      <c r="O35" s="31">
        <v>11</v>
      </c>
      <c r="P35" s="31">
        <v>28</v>
      </c>
      <c r="Q35" s="31">
        <v>24</v>
      </c>
      <c r="R35" s="31">
        <v>37</v>
      </c>
      <c r="S35" s="31">
        <v>12</v>
      </c>
      <c r="T35" s="31" t="s">
        <v>202</v>
      </c>
      <c r="U35" s="31">
        <v>95</v>
      </c>
      <c r="V35" s="31">
        <v>42</v>
      </c>
      <c r="W35" s="31">
        <v>40</v>
      </c>
      <c r="X35" s="31">
        <v>100</v>
      </c>
      <c r="Y35" s="31" t="s">
        <v>202</v>
      </c>
    </row>
    <row r="36" spans="1:25" x14ac:dyDescent="0.4">
      <c r="A36" s="32">
        <f>IF(B36&lt;&gt;"",COUNTA($B$35:B36),"")</f>
        <v>2</v>
      </c>
      <c r="B36" s="13" t="s">
        <v>48</v>
      </c>
      <c r="C36" s="13" t="s">
        <v>49</v>
      </c>
      <c r="D36" s="33">
        <f t="shared" ref="D36:D97" si="30">IF(C36="","",(SUM(H36:Y36)/D$31)*100)</f>
        <v>46</v>
      </c>
      <c r="E36" s="32" t="str">
        <f t="shared" si="28"/>
        <v>FAIL</v>
      </c>
      <c r="F36" s="32" t="str">
        <f>IF(E36="Pass",G36, IF(E36="FAIL","FAIL",""))</f>
        <v>FAIL</v>
      </c>
      <c r="G36" s="34" t="str">
        <f t="shared" si="29"/>
        <v>SC</v>
      </c>
      <c r="H36" s="31">
        <v>22</v>
      </c>
      <c r="I36" s="31"/>
      <c r="J36" s="31">
        <v>25</v>
      </c>
      <c r="K36" s="31">
        <v>18</v>
      </c>
      <c r="L36" s="31">
        <v>20</v>
      </c>
      <c r="M36" s="31">
        <v>2</v>
      </c>
      <c r="N36" s="31">
        <v>21</v>
      </c>
      <c r="O36" s="31"/>
      <c r="P36" s="31">
        <v>22</v>
      </c>
      <c r="Q36" s="31">
        <v>21</v>
      </c>
      <c r="R36" s="31">
        <v>26</v>
      </c>
      <c r="S36" s="31"/>
      <c r="T36" s="31" t="s">
        <v>202</v>
      </c>
      <c r="U36" s="31">
        <v>90</v>
      </c>
      <c r="V36" s="31">
        <v>24</v>
      </c>
      <c r="W36" s="31">
        <v>23</v>
      </c>
      <c r="X36" s="31">
        <v>100</v>
      </c>
      <c r="Y36" s="31" t="s">
        <v>202</v>
      </c>
    </row>
    <row r="37" spans="1:25" x14ac:dyDescent="0.4">
      <c r="A37" s="32">
        <f>IF(B37&lt;&gt;"",COUNTA($B$35:B37),"")</f>
        <v>3</v>
      </c>
      <c r="B37" s="13" t="s">
        <v>50</v>
      </c>
      <c r="C37" s="13" t="s">
        <v>51</v>
      </c>
      <c r="D37" s="33">
        <f t="shared" si="30"/>
        <v>57.555555555555557</v>
      </c>
      <c r="E37" s="32" t="str">
        <f t="shared" si="28"/>
        <v>FAIL</v>
      </c>
      <c r="F37" s="32" t="str">
        <f t="shared" ref="F37:F100" si="31">IF(E37="Pass",G37, IF(E37="FAIL","FAIL",""))</f>
        <v>FAIL</v>
      </c>
      <c r="G37" s="34" t="str">
        <f t="shared" si="29"/>
        <v>SC</v>
      </c>
      <c r="H37" s="31">
        <v>22</v>
      </c>
      <c r="I37" s="31">
        <v>9</v>
      </c>
      <c r="J37" s="31">
        <v>30</v>
      </c>
      <c r="K37" s="31">
        <v>18</v>
      </c>
      <c r="L37" s="31">
        <v>28</v>
      </c>
      <c r="M37" s="31">
        <v>14</v>
      </c>
      <c r="N37" s="31">
        <v>21</v>
      </c>
      <c r="O37" s="31">
        <v>10</v>
      </c>
      <c r="P37" s="31">
        <v>25</v>
      </c>
      <c r="Q37" s="31">
        <v>21</v>
      </c>
      <c r="R37" s="31">
        <v>39</v>
      </c>
      <c r="S37" s="31">
        <v>27</v>
      </c>
      <c r="T37" s="31" t="s">
        <v>202</v>
      </c>
      <c r="U37" s="31">
        <v>97</v>
      </c>
      <c r="V37" s="31">
        <v>32</v>
      </c>
      <c r="W37" s="31">
        <v>25</v>
      </c>
      <c r="X37" s="31">
        <v>100</v>
      </c>
      <c r="Y37" s="31" t="s">
        <v>202</v>
      </c>
    </row>
    <row r="38" spans="1:25" x14ac:dyDescent="0.4">
      <c r="A38" s="32">
        <f>IF(B38&lt;&gt;"",COUNTA($B$35:B38),"")</f>
        <v>4</v>
      </c>
      <c r="B38" s="13" t="s">
        <v>52</v>
      </c>
      <c r="C38" s="13" t="s">
        <v>53</v>
      </c>
      <c r="D38" s="33">
        <f t="shared" si="30"/>
        <v>73.666666666666671</v>
      </c>
      <c r="E38" s="32" t="str">
        <f t="shared" si="28"/>
        <v>PASS</v>
      </c>
      <c r="F38" s="32" t="str">
        <f t="shared" si="31"/>
        <v>FCD</v>
      </c>
      <c r="G38" s="34" t="str">
        <f t="shared" si="29"/>
        <v>FCD</v>
      </c>
      <c r="H38" s="31">
        <v>35</v>
      </c>
      <c r="I38" s="31">
        <v>24</v>
      </c>
      <c r="J38" s="31">
        <v>39</v>
      </c>
      <c r="K38" s="31">
        <v>27</v>
      </c>
      <c r="L38" s="31">
        <v>31</v>
      </c>
      <c r="M38" s="31">
        <v>29</v>
      </c>
      <c r="N38" s="31">
        <v>33</v>
      </c>
      <c r="O38" s="31">
        <v>18</v>
      </c>
      <c r="P38" s="31">
        <v>43</v>
      </c>
      <c r="Q38" s="31">
        <v>32</v>
      </c>
      <c r="R38" s="31">
        <v>48</v>
      </c>
      <c r="S38" s="31">
        <v>23</v>
      </c>
      <c r="T38" s="31" t="s">
        <v>202</v>
      </c>
      <c r="U38" s="31">
        <v>97</v>
      </c>
      <c r="V38" s="31">
        <v>42</v>
      </c>
      <c r="W38" s="31">
        <v>42</v>
      </c>
      <c r="X38" s="31" t="s">
        <v>202</v>
      </c>
      <c r="Y38" s="31">
        <v>100</v>
      </c>
    </row>
    <row r="39" spans="1:25" x14ac:dyDescent="0.4">
      <c r="A39" s="32">
        <f>IF(B39&lt;&gt;"",COUNTA($B$35:B39),"")</f>
        <v>5</v>
      </c>
      <c r="B39" s="13" t="s">
        <v>54</v>
      </c>
      <c r="C39" s="13" t="s">
        <v>55</v>
      </c>
      <c r="D39" s="33">
        <f t="shared" si="30"/>
        <v>63.44444444444445</v>
      </c>
      <c r="E39" s="32" t="str">
        <f t="shared" si="28"/>
        <v>FAIL</v>
      </c>
      <c r="F39" s="32" t="str">
        <f t="shared" si="31"/>
        <v>FAIL</v>
      </c>
      <c r="G39" s="34" t="str">
        <f t="shared" si="29"/>
        <v>FC</v>
      </c>
      <c r="H39" s="31">
        <v>22</v>
      </c>
      <c r="I39" s="31">
        <v>2</v>
      </c>
      <c r="J39" s="31">
        <v>41</v>
      </c>
      <c r="K39" s="31">
        <v>24</v>
      </c>
      <c r="L39" s="31">
        <v>25</v>
      </c>
      <c r="M39" s="31">
        <v>18</v>
      </c>
      <c r="N39" s="31">
        <v>35</v>
      </c>
      <c r="O39" s="31">
        <v>10</v>
      </c>
      <c r="P39" s="31">
        <v>25</v>
      </c>
      <c r="Q39" s="31">
        <v>32</v>
      </c>
      <c r="R39" s="31">
        <v>45</v>
      </c>
      <c r="S39" s="31">
        <v>11</v>
      </c>
      <c r="T39" s="31" t="s">
        <v>202</v>
      </c>
      <c r="U39" s="31">
        <v>97</v>
      </c>
      <c r="V39" s="31">
        <v>39</v>
      </c>
      <c r="W39" s="31">
        <v>45</v>
      </c>
      <c r="X39" s="31" t="s">
        <v>202</v>
      </c>
      <c r="Y39" s="31">
        <v>100</v>
      </c>
    </row>
    <row r="40" spans="1:25" x14ac:dyDescent="0.4">
      <c r="A40" s="32">
        <f>IF(B40&lt;&gt;"",COUNTA($B$35:B40),"")</f>
        <v>6</v>
      </c>
      <c r="B40" s="13" t="s">
        <v>56</v>
      </c>
      <c r="C40" s="13" t="s">
        <v>57</v>
      </c>
      <c r="D40" s="33">
        <f t="shared" si="30"/>
        <v>74.111111111111114</v>
      </c>
      <c r="E40" s="32" t="str">
        <f t="shared" si="28"/>
        <v>PASS</v>
      </c>
      <c r="F40" s="32" t="str">
        <f t="shared" si="31"/>
        <v>FCD</v>
      </c>
      <c r="G40" s="34" t="str">
        <f t="shared" si="29"/>
        <v>FCD</v>
      </c>
      <c r="H40" s="31">
        <v>36</v>
      </c>
      <c r="I40" s="31">
        <v>18</v>
      </c>
      <c r="J40" s="31">
        <v>44</v>
      </c>
      <c r="K40" s="31">
        <v>34</v>
      </c>
      <c r="L40" s="31">
        <v>30</v>
      </c>
      <c r="M40" s="31">
        <v>19</v>
      </c>
      <c r="N40" s="31">
        <v>32</v>
      </c>
      <c r="O40" s="31">
        <v>18</v>
      </c>
      <c r="P40" s="31">
        <v>45</v>
      </c>
      <c r="Q40" s="31">
        <v>33</v>
      </c>
      <c r="R40" s="31">
        <v>46</v>
      </c>
      <c r="S40" s="31">
        <v>20</v>
      </c>
      <c r="T40" s="31" t="s">
        <v>202</v>
      </c>
      <c r="U40" s="31">
        <v>99</v>
      </c>
      <c r="V40" s="31">
        <v>44</v>
      </c>
      <c r="W40" s="31">
        <v>49</v>
      </c>
      <c r="X40" s="31">
        <v>100</v>
      </c>
      <c r="Y40" s="31" t="s">
        <v>202</v>
      </c>
    </row>
    <row r="41" spans="1:25" x14ac:dyDescent="0.4">
      <c r="A41" s="32">
        <f>IF(B41&lt;&gt;"",COUNTA($B$35:B41),"")</f>
        <v>7</v>
      </c>
      <c r="B41" s="13" t="s">
        <v>58</v>
      </c>
      <c r="C41" s="13" t="s">
        <v>59</v>
      </c>
      <c r="D41" s="33">
        <f t="shared" si="30"/>
        <v>75.888888888888886</v>
      </c>
      <c r="E41" s="32" t="str">
        <f t="shared" ref="E41:E72" si="32">IF(ISBLANK(B41),"",IF(OR(I41&lt;18,K41&lt;18,M41&lt;18,O41&lt;18,Q41&lt;18,S41&lt;18,U41&lt;18,W41&lt;18),"FAIL","PASS"))</f>
        <v>PASS</v>
      </c>
      <c r="F41" s="32" t="str">
        <f t="shared" si="31"/>
        <v>FCD</v>
      </c>
      <c r="G41" s="34" t="str">
        <f t="shared" si="29"/>
        <v>FCD</v>
      </c>
      <c r="H41" s="31">
        <v>40</v>
      </c>
      <c r="I41" s="31">
        <v>21</v>
      </c>
      <c r="J41" s="31">
        <v>45</v>
      </c>
      <c r="K41" s="31">
        <v>30</v>
      </c>
      <c r="L41" s="31">
        <v>34</v>
      </c>
      <c r="M41" s="31">
        <v>23</v>
      </c>
      <c r="N41" s="31">
        <v>37</v>
      </c>
      <c r="O41" s="31">
        <v>18</v>
      </c>
      <c r="P41" s="31">
        <v>45</v>
      </c>
      <c r="Q41" s="31">
        <v>37</v>
      </c>
      <c r="R41" s="31">
        <v>43</v>
      </c>
      <c r="S41" s="31">
        <v>23</v>
      </c>
      <c r="T41" s="31" t="s">
        <v>202</v>
      </c>
      <c r="U41" s="31">
        <v>97</v>
      </c>
      <c r="V41" s="31">
        <v>44</v>
      </c>
      <c r="W41" s="31">
        <v>46</v>
      </c>
      <c r="X41" s="31">
        <v>100</v>
      </c>
      <c r="Y41" s="31" t="s">
        <v>202</v>
      </c>
    </row>
    <row r="42" spans="1:25" x14ac:dyDescent="0.4">
      <c r="A42" s="32">
        <f>IF(B42&lt;&gt;"",COUNTA($B$35:B42),"")</f>
        <v>8</v>
      </c>
      <c r="B42" s="13" t="s">
        <v>60</v>
      </c>
      <c r="C42" s="13" t="s">
        <v>61</v>
      </c>
      <c r="D42" s="33">
        <f t="shared" si="30"/>
        <v>62.222222222222221</v>
      </c>
      <c r="E42" s="32" t="str">
        <f t="shared" si="32"/>
        <v>FAIL</v>
      </c>
      <c r="F42" s="32" t="str">
        <f t="shared" si="31"/>
        <v>FAIL</v>
      </c>
      <c r="G42" s="34" t="str">
        <f t="shared" si="29"/>
        <v>FC</v>
      </c>
      <c r="H42" s="31">
        <v>25</v>
      </c>
      <c r="I42" s="31">
        <v>12</v>
      </c>
      <c r="J42" s="31">
        <v>28</v>
      </c>
      <c r="K42" s="31">
        <v>25</v>
      </c>
      <c r="L42" s="31">
        <v>20</v>
      </c>
      <c r="M42" s="31">
        <v>20</v>
      </c>
      <c r="N42" s="31">
        <v>32</v>
      </c>
      <c r="O42" s="31">
        <v>18</v>
      </c>
      <c r="P42" s="31">
        <v>32</v>
      </c>
      <c r="Q42" s="31">
        <v>28</v>
      </c>
      <c r="R42" s="31">
        <v>39</v>
      </c>
      <c r="S42" s="31">
        <v>21</v>
      </c>
      <c r="T42" s="31" t="s">
        <v>202</v>
      </c>
      <c r="U42" s="31">
        <v>95</v>
      </c>
      <c r="V42" s="31">
        <v>40</v>
      </c>
      <c r="W42" s="31">
        <v>25</v>
      </c>
      <c r="X42" s="31">
        <v>100</v>
      </c>
      <c r="Y42" s="31" t="s">
        <v>202</v>
      </c>
    </row>
    <row r="43" spans="1:25" x14ac:dyDescent="0.4">
      <c r="A43" s="32">
        <f>IF(B43&lt;&gt;"",COUNTA($B$35:B43),"")</f>
        <v>9</v>
      </c>
      <c r="B43" s="13" t="s">
        <v>62</v>
      </c>
      <c r="C43" s="13" t="s">
        <v>63</v>
      </c>
      <c r="D43" s="33">
        <f t="shared" si="30"/>
        <v>75.666666666666671</v>
      </c>
      <c r="E43" s="32" t="str">
        <f t="shared" si="32"/>
        <v>PASS</v>
      </c>
      <c r="F43" s="32" t="str">
        <f t="shared" si="31"/>
        <v>FCD</v>
      </c>
      <c r="G43" s="34" t="str">
        <f t="shared" si="29"/>
        <v>FCD</v>
      </c>
      <c r="H43" s="31">
        <v>38</v>
      </c>
      <c r="I43" s="31">
        <v>24</v>
      </c>
      <c r="J43" s="31">
        <v>43</v>
      </c>
      <c r="K43" s="31">
        <v>23</v>
      </c>
      <c r="L43" s="31">
        <v>36</v>
      </c>
      <c r="M43" s="31">
        <v>18</v>
      </c>
      <c r="N43" s="31">
        <v>48</v>
      </c>
      <c r="O43" s="31">
        <v>18</v>
      </c>
      <c r="P43" s="31">
        <v>40</v>
      </c>
      <c r="Q43" s="31">
        <v>38</v>
      </c>
      <c r="R43" s="31">
        <v>40</v>
      </c>
      <c r="S43" s="31">
        <v>24</v>
      </c>
      <c r="T43" s="31" t="s">
        <v>202</v>
      </c>
      <c r="U43" s="31">
        <v>95</v>
      </c>
      <c r="V43" s="31">
        <v>47</v>
      </c>
      <c r="W43" s="31">
        <v>49</v>
      </c>
      <c r="X43" s="31" t="s">
        <v>202</v>
      </c>
      <c r="Y43" s="31">
        <v>100</v>
      </c>
    </row>
    <row r="44" spans="1:25" x14ac:dyDescent="0.4">
      <c r="A44" s="32">
        <f>IF(B44&lt;&gt;"",COUNTA($B$35:B44),"")</f>
        <v>10</v>
      </c>
      <c r="B44" s="13" t="s">
        <v>64</v>
      </c>
      <c r="C44" s="13" t="s">
        <v>65</v>
      </c>
      <c r="D44" s="33">
        <f t="shared" si="30"/>
        <v>66.555555555555557</v>
      </c>
      <c r="E44" s="32" t="str">
        <f t="shared" si="32"/>
        <v>PASS</v>
      </c>
      <c r="F44" s="32" t="str">
        <f t="shared" si="31"/>
        <v>FC</v>
      </c>
      <c r="G44" s="34" t="str">
        <f t="shared" si="29"/>
        <v>FC</v>
      </c>
      <c r="H44" s="31">
        <v>35</v>
      </c>
      <c r="I44" s="31">
        <v>20</v>
      </c>
      <c r="J44" s="31">
        <v>41</v>
      </c>
      <c r="K44" s="31">
        <v>30</v>
      </c>
      <c r="L44" s="31">
        <v>25</v>
      </c>
      <c r="M44" s="31">
        <v>22</v>
      </c>
      <c r="N44" s="31">
        <v>26</v>
      </c>
      <c r="O44" s="31">
        <v>18</v>
      </c>
      <c r="P44" s="31">
        <v>22</v>
      </c>
      <c r="Q44" s="31">
        <v>21</v>
      </c>
      <c r="R44" s="31">
        <v>36</v>
      </c>
      <c r="S44" s="31">
        <v>29</v>
      </c>
      <c r="T44" s="31" t="s">
        <v>202</v>
      </c>
      <c r="U44" s="31">
        <v>97</v>
      </c>
      <c r="V44" s="31">
        <v>37</v>
      </c>
      <c r="W44" s="31">
        <v>40</v>
      </c>
      <c r="X44" s="31">
        <v>100</v>
      </c>
      <c r="Y44" s="31" t="s">
        <v>202</v>
      </c>
    </row>
    <row r="45" spans="1:25" x14ac:dyDescent="0.4">
      <c r="A45" s="32">
        <f>IF(B45&lt;&gt;"",COUNTA($B$35:B45),"")</f>
        <v>11</v>
      </c>
      <c r="B45" s="13" t="s">
        <v>66</v>
      </c>
      <c r="C45" s="13" t="s">
        <v>67</v>
      </c>
      <c r="D45" s="33">
        <f t="shared" si="30"/>
        <v>63.555555555555557</v>
      </c>
      <c r="E45" s="32" t="str">
        <f t="shared" si="32"/>
        <v>FAIL</v>
      </c>
      <c r="F45" s="32" t="str">
        <f t="shared" si="31"/>
        <v>FAIL</v>
      </c>
      <c r="G45" s="34" t="str">
        <f t="shared" si="29"/>
        <v>FC</v>
      </c>
      <c r="H45" s="31">
        <v>35</v>
      </c>
      <c r="I45" s="31">
        <v>12</v>
      </c>
      <c r="J45" s="31">
        <v>35</v>
      </c>
      <c r="K45" s="31">
        <v>19</v>
      </c>
      <c r="L45" s="31">
        <v>30</v>
      </c>
      <c r="M45" s="31">
        <v>6</v>
      </c>
      <c r="N45" s="31">
        <v>32</v>
      </c>
      <c r="O45" s="31">
        <v>4</v>
      </c>
      <c r="P45" s="31">
        <v>30</v>
      </c>
      <c r="Q45" s="31">
        <v>23</v>
      </c>
      <c r="R45" s="31">
        <v>44</v>
      </c>
      <c r="S45" s="31">
        <v>18</v>
      </c>
      <c r="T45" s="31" t="s">
        <v>202</v>
      </c>
      <c r="U45" s="31">
        <v>98</v>
      </c>
      <c r="V45" s="31">
        <v>39</v>
      </c>
      <c r="W45" s="31">
        <v>47</v>
      </c>
      <c r="X45" s="31">
        <v>100</v>
      </c>
      <c r="Y45" s="31" t="s">
        <v>202</v>
      </c>
    </row>
    <row r="46" spans="1:25" x14ac:dyDescent="0.4">
      <c r="A46" s="32">
        <f>IF(B46&lt;&gt;"",COUNTA($B$35:B46),"")</f>
        <v>12</v>
      </c>
      <c r="B46" s="13" t="s">
        <v>68</v>
      </c>
      <c r="C46" s="13" t="s">
        <v>69</v>
      </c>
      <c r="D46" s="33">
        <f t="shared" si="30"/>
        <v>61.666666666666671</v>
      </c>
      <c r="E46" s="32" t="str">
        <f t="shared" si="32"/>
        <v>FAIL</v>
      </c>
      <c r="F46" s="32" t="str">
        <f t="shared" si="31"/>
        <v>FAIL</v>
      </c>
      <c r="G46" s="34" t="str">
        <f t="shared" si="29"/>
        <v>FC</v>
      </c>
      <c r="H46" s="31">
        <v>30</v>
      </c>
      <c r="I46" s="31">
        <v>5</v>
      </c>
      <c r="J46" s="31">
        <v>36</v>
      </c>
      <c r="K46" s="31">
        <v>25</v>
      </c>
      <c r="L46" s="31">
        <v>22</v>
      </c>
      <c r="M46" s="31">
        <v>10</v>
      </c>
      <c r="N46" s="31">
        <v>21</v>
      </c>
      <c r="O46" s="31">
        <v>6</v>
      </c>
      <c r="P46" s="31">
        <v>35</v>
      </c>
      <c r="Q46" s="31">
        <v>38</v>
      </c>
      <c r="R46" s="31">
        <v>45</v>
      </c>
      <c r="S46" s="31">
        <v>18</v>
      </c>
      <c r="T46" s="31" t="s">
        <v>202</v>
      </c>
      <c r="U46" s="31">
        <v>97</v>
      </c>
      <c r="V46" s="31">
        <v>29</v>
      </c>
      <c r="W46" s="31">
        <v>38</v>
      </c>
      <c r="X46" s="31">
        <v>100</v>
      </c>
      <c r="Y46" s="31" t="s">
        <v>202</v>
      </c>
    </row>
    <row r="47" spans="1:25" x14ac:dyDescent="0.4">
      <c r="A47" s="32">
        <f>IF(B47&lt;&gt;"",COUNTA($B$35:B47),"")</f>
        <v>13</v>
      </c>
      <c r="B47" s="13" t="s">
        <v>70</v>
      </c>
      <c r="C47" s="13" t="s">
        <v>71</v>
      </c>
      <c r="D47" s="33">
        <f t="shared" si="30"/>
        <v>64.444444444444443</v>
      </c>
      <c r="E47" s="32" t="str">
        <f t="shared" si="32"/>
        <v>FAIL</v>
      </c>
      <c r="F47" s="32" t="str">
        <f t="shared" si="31"/>
        <v>FAIL</v>
      </c>
      <c r="G47" s="34" t="str">
        <f t="shared" si="29"/>
        <v>FC</v>
      </c>
      <c r="H47" s="31">
        <v>25</v>
      </c>
      <c r="I47" s="31">
        <v>20</v>
      </c>
      <c r="J47" s="31">
        <v>29</v>
      </c>
      <c r="K47" s="31">
        <v>21</v>
      </c>
      <c r="L47" s="31">
        <v>20</v>
      </c>
      <c r="M47" s="31">
        <v>20</v>
      </c>
      <c r="N47" s="31">
        <v>28</v>
      </c>
      <c r="O47" s="31">
        <v>7</v>
      </c>
      <c r="P47" s="31">
        <v>42</v>
      </c>
      <c r="Q47" s="31">
        <v>22</v>
      </c>
      <c r="R47" s="31">
        <v>39</v>
      </c>
      <c r="S47" s="31">
        <v>27</v>
      </c>
      <c r="T47" s="31" t="s">
        <v>202</v>
      </c>
      <c r="U47" s="31">
        <v>96</v>
      </c>
      <c r="V47" s="31">
        <v>40</v>
      </c>
      <c r="W47" s="31">
        <v>44</v>
      </c>
      <c r="X47" s="31">
        <v>100</v>
      </c>
      <c r="Y47" s="31" t="s">
        <v>202</v>
      </c>
    </row>
    <row r="48" spans="1:25" x14ac:dyDescent="0.4">
      <c r="A48" s="32">
        <f>IF(B48&lt;&gt;"",COUNTA($B$35:B48),"")</f>
        <v>14</v>
      </c>
      <c r="B48" s="13" t="s">
        <v>72</v>
      </c>
      <c r="C48" s="13" t="s">
        <v>73</v>
      </c>
      <c r="D48" s="33">
        <f t="shared" si="30"/>
        <v>66.555555555555557</v>
      </c>
      <c r="E48" s="32" t="str">
        <f t="shared" si="32"/>
        <v>PASS</v>
      </c>
      <c r="F48" s="32" t="str">
        <f t="shared" si="31"/>
        <v>FC</v>
      </c>
      <c r="G48" s="34" t="str">
        <f t="shared" si="29"/>
        <v>FC</v>
      </c>
      <c r="H48" s="31">
        <v>22</v>
      </c>
      <c r="I48" s="31">
        <v>21</v>
      </c>
      <c r="J48" s="31">
        <v>32</v>
      </c>
      <c r="K48" s="31">
        <v>24</v>
      </c>
      <c r="L48" s="31">
        <v>28</v>
      </c>
      <c r="M48" s="31">
        <v>18</v>
      </c>
      <c r="N48" s="31">
        <v>39</v>
      </c>
      <c r="O48" s="31">
        <v>18</v>
      </c>
      <c r="P48" s="31">
        <v>25</v>
      </c>
      <c r="Q48" s="31">
        <v>22</v>
      </c>
      <c r="R48" s="31">
        <v>41</v>
      </c>
      <c r="S48" s="31">
        <v>18</v>
      </c>
      <c r="T48" s="31" t="s">
        <v>202</v>
      </c>
      <c r="U48" s="31">
        <v>96</v>
      </c>
      <c r="V48" s="31">
        <v>46</v>
      </c>
      <c r="W48" s="31">
        <v>49</v>
      </c>
      <c r="X48" s="31" t="s">
        <v>202</v>
      </c>
      <c r="Y48" s="31">
        <v>100</v>
      </c>
    </row>
    <row r="49" spans="1:25" x14ac:dyDescent="0.4">
      <c r="A49" s="32">
        <f>IF(B49&lt;&gt;"",COUNTA($B$35:B49),"")</f>
        <v>15</v>
      </c>
      <c r="B49" s="13" t="s">
        <v>74</v>
      </c>
      <c r="C49" s="13" t="s">
        <v>75</v>
      </c>
      <c r="D49" s="33">
        <f t="shared" si="30"/>
        <v>71.666666666666671</v>
      </c>
      <c r="E49" s="32" t="str">
        <f t="shared" si="32"/>
        <v>PASS</v>
      </c>
      <c r="F49" s="32" t="str">
        <f t="shared" si="31"/>
        <v>FCD</v>
      </c>
      <c r="G49" s="34" t="str">
        <f t="shared" si="29"/>
        <v>FCD</v>
      </c>
      <c r="H49" s="31">
        <v>29</v>
      </c>
      <c r="I49" s="31">
        <v>19</v>
      </c>
      <c r="J49" s="31">
        <v>40</v>
      </c>
      <c r="K49" s="31">
        <v>38</v>
      </c>
      <c r="L49" s="31">
        <v>25</v>
      </c>
      <c r="M49" s="31">
        <v>19</v>
      </c>
      <c r="N49" s="31">
        <v>29</v>
      </c>
      <c r="O49" s="31">
        <v>24</v>
      </c>
      <c r="P49" s="31">
        <v>40</v>
      </c>
      <c r="Q49" s="31">
        <v>30</v>
      </c>
      <c r="R49" s="31">
        <v>41</v>
      </c>
      <c r="S49" s="31">
        <v>32</v>
      </c>
      <c r="T49" s="31" t="s">
        <v>202</v>
      </c>
      <c r="U49" s="31">
        <v>97</v>
      </c>
      <c r="V49" s="31">
        <v>41</v>
      </c>
      <c r="W49" s="31">
        <v>41</v>
      </c>
      <c r="X49" s="31">
        <v>100</v>
      </c>
      <c r="Y49" s="31" t="s">
        <v>202</v>
      </c>
    </row>
    <row r="50" spans="1:25" x14ac:dyDescent="0.4">
      <c r="A50" s="32">
        <f>IF(B50&lt;&gt;"",COUNTA($B$35:B50),"")</f>
        <v>16</v>
      </c>
      <c r="B50" s="13" t="s">
        <v>76</v>
      </c>
      <c r="C50" s="13" t="s">
        <v>77</v>
      </c>
      <c r="D50" s="33">
        <f t="shared" si="30"/>
        <v>69.888888888888886</v>
      </c>
      <c r="E50" s="32" t="str">
        <f t="shared" si="32"/>
        <v>FAIL</v>
      </c>
      <c r="F50" s="32" t="str">
        <f t="shared" si="31"/>
        <v>FAIL</v>
      </c>
      <c r="G50" s="34" t="str">
        <f t="shared" si="29"/>
        <v>FC</v>
      </c>
      <c r="H50" s="31">
        <v>36</v>
      </c>
      <c r="I50" s="31">
        <v>19</v>
      </c>
      <c r="J50" s="31">
        <v>44</v>
      </c>
      <c r="K50" s="31">
        <v>27</v>
      </c>
      <c r="L50" s="31">
        <v>27</v>
      </c>
      <c r="M50" s="31">
        <v>21</v>
      </c>
      <c r="N50" s="31">
        <v>30</v>
      </c>
      <c r="O50" s="31">
        <v>5</v>
      </c>
      <c r="P50" s="31">
        <v>40</v>
      </c>
      <c r="Q50" s="31">
        <v>34</v>
      </c>
      <c r="R50" s="31">
        <v>42</v>
      </c>
      <c r="S50" s="31">
        <v>23</v>
      </c>
      <c r="T50" s="31" t="s">
        <v>202</v>
      </c>
      <c r="U50" s="31">
        <v>97</v>
      </c>
      <c r="V50" s="31">
        <v>41</v>
      </c>
      <c r="W50" s="31">
        <v>43</v>
      </c>
      <c r="X50" s="31">
        <v>100</v>
      </c>
      <c r="Y50" s="31" t="s">
        <v>202</v>
      </c>
    </row>
    <row r="51" spans="1:25" x14ac:dyDescent="0.4">
      <c r="A51" s="32">
        <f>IF(B51&lt;&gt;"",COUNTA($B$35:B51),"")</f>
        <v>17</v>
      </c>
      <c r="B51" s="13" t="s">
        <v>78</v>
      </c>
      <c r="C51" s="13" t="s">
        <v>79</v>
      </c>
      <c r="D51" s="33">
        <f t="shared" si="30"/>
        <v>66.555555555555557</v>
      </c>
      <c r="E51" s="32" t="str">
        <f t="shared" si="32"/>
        <v>FAIL</v>
      </c>
      <c r="F51" s="32" t="str">
        <f t="shared" si="31"/>
        <v>FAIL</v>
      </c>
      <c r="G51" s="34" t="str">
        <f t="shared" si="29"/>
        <v>FC</v>
      </c>
      <c r="H51" s="31">
        <v>25</v>
      </c>
      <c r="I51" s="31">
        <v>10</v>
      </c>
      <c r="J51" s="31">
        <v>42</v>
      </c>
      <c r="K51" s="31">
        <v>18</v>
      </c>
      <c r="L51" s="31">
        <v>25</v>
      </c>
      <c r="M51" s="31">
        <v>18</v>
      </c>
      <c r="N51" s="31">
        <v>32</v>
      </c>
      <c r="O51" s="31">
        <v>14</v>
      </c>
      <c r="P51" s="31">
        <v>45</v>
      </c>
      <c r="Q51" s="31">
        <v>31</v>
      </c>
      <c r="R51" s="31">
        <v>42</v>
      </c>
      <c r="S51" s="31">
        <v>38</v>
      </c>
      <c r="T51" s="31" t="s">
        <v>202</v>
      </c>
      <c r="U51" s="31">
        <v>96</v>
      </c>
      <c r="V51" s="31">
        <v>44</v>
      </c>
      <c r="W51" s="31">
        <v>19</v>
      </c>
      <c r="X51" s="31">
        <v>100</v>
      </c>
      <c r="Y51" s="31" t="s">
        <v>202</v>
      </c>
    </row>
    <row r="52" spans="1:25" x14ac:dyDescent="0.4">
      <c r="A52" s="32">
        <f>IF(B52&lt;&gt;"",COUNTA($B$35:B52),"")</f>
        <v>18</v>
      </c>
      <c r="B52" s="13" t="s">
        <v>80</v>
      </c>
      <c r="C52" s="13" t="s">
        <v>81</v>
      </c>
      <c r="D52" s="33">
        <f t="shared" si="30"/>
        <v>67.777777777777786</v>
      </c>
      <c r="E52" s="32" t="str">
        <f t="shared" si="32"/>
        <v>FAIL</v>
      </c>
      <c r="F52" s="32" t="str">
        <f t="shared" si="31"/>
        <v>FAIL</v>
      </c>
      <c r="G52" s="34" t="str">
        <f t="shared" si="29"/>
        <v>FC</v>
      </c>
      <c r="H52" s="31">
        <v>25</v>
      </c>
      <c r="I52" s="31">
        <v>18</v>
      </c>
      <c r="J52" s="31">
        <v>47</v>
      </c>
      <c r="K52" s="31">
        <v>32</v>
      </c>
      <c r="L52" s="31">
        <v>27</v>
      </c>
      <c r="M52" s="31">
        <v>20</v>
      </c>
      <c r="N52" s="31">
        <v>30</v>
      </c>
      <c r="O52" s="31">
        <v>10</v>
      </c>
      <c r="P52" s="31">
        <v>28</v>
      </c>
      <c r="Q52" s="31">
        <v>32</v>
      </c>
      <c r="R52" s="31">
        <v>42</v>
      </c>
      <c r="S52" s="31">
        <v>29</v>
      </c>
      <c r="T52" s="31" t="s">
        <v>202</v>
      </c>
      <c r="U52" s="31">
        <v>97</v>
      </c>
      <c r="V52" s="31">
        <v>29</v>
      </c>
      <c r="W52" s="31">
        <v>44</v>
      </c>
      <c r="X52" s="31">
        <v>100</v>
      </c>
      <c r="Y52" s="31" t="s">
        <v>202</v>
      </c>
    </row>
    <row r="53" spans="1:25" x14ac:dyDescent="0.4">
      <c r="A53" s="32">
        <f>IF(B53&lt;&gt;"",COUNTA($B$35:B53),"")</f>
        <v>19</v>
      </c>
      <c r="B53" s="13" t="s">
        <v>82</v>
      </c>
      <c r="C53" s="13" t="s">
        <v>83</v>
      </c>
      <c r="D53" s="33">
        <f t="shared" si="30"/>
        <v>80.111111111111114</v>
      </c>
      <c r="E53" s="32" t="str">
        <f t="shared" si="32"/>
        <v>PASS</v>
      </c>
      <c r="F53" s="32" t="str">
        <f t="shared" si="31"/>
        <v>FCD</v>
      </c>
      <c r="G53" s="34" t="str">
        <f t="shared" si="29"/>
        <v>FCD</v>
      </c>
      <c r="H53" s="31">
        <v>39</v>
      </c>
      <c r="I53" s="31">
        <v>37</v>
      </c>
      <c r="J53" s="31">
        <v>48</v>
      </c>
      <c r="K53" s="31">
        <v>30</v>
      </c>
      <c r="L53" s="31">
        <v>38</v>
      </c>
      <c r="M53" s="31">
        <v>18</v>
      </c>
      <c r="N53" s="31">
        <v>36</v>
      </c>
      <c r="O53" s="31">
        <v>27</v>
      </c>
      <c r="P53" s="31">
        <v>43</v>
      </c>
      <c r="Q53" s="31">
        <v>43</v>
      </c>
      <c r="R53" s="31">
        <v>50</v>
      </c>
      <c r="S53" s="31">
        <v>19</v>
      </c>
      <c r="T53" s="31" t="s">
        <v>202</v>
      </c>
      <c r="U53" s="31">
        <v>97</v>
      </c>
      <c r="V53" s="31">
        <v>47</v>
      </c>
      <c r="W53" s="31">
        <v>49</v>
      </c>
      <c r="X53" s="31">
        <v>100</v>
      </c>
      <c r="Y53" s="31" t="s">
        <v>202</v>
      </c>
    </row>
    <row r="54" spans="1:25" x14ac:dyDescent="0.4">
      <c r="A54" s="32">
        <f>IF(B54&lt;&gt;"",COUNTA($B$35:B54),"")</f>
        <v>20</v>
      </c>
      <c r="B54" s="13" t="s">
        <v>84</v>
      </c>
      <c r="C54" s="13" t="s">
        <v>85</v>
      </c>
      <c r="D54" s="33">
        <f t="shared" si="30"/>
        <v>75.777777777777771</v>
      </c>
      <c r="E54" s="32" t="str">
        <f t="shared" si="32"/>
        <v>PASS</v>
      </c>
      <c r="F54" s="32" t="str">
        <f t="shared" si="31"/>
        <v>FCD</v>
      </c>
      <c r="G54" s="34" t="str">
        <f t="shared" si="29"/>
        <v>FCD</v>
      </c>
      <c r="H54" s="31">
        <v>35</v>
      </c>
      <c r="I54" s="31">
        <v>18</v>
      </c>
      <c r="J54" s="31">
        <v>44</v>
      </c>
      <c r="K54" s="31">
        <v>37</v>
      </c>
      <c r="L54" s="31">
        <v>35</v>
      </c>
      <c r="M54" s="31">
        <v>18</v>
      </c>
      <c r="N54" s="31">
        <v>35</v>
      </c>
      <c r="O54" s="31">
        <v>19</v>
      </c>
      <c r="P54" s="31">
        <v>43</v>
      </c>
      <c r="Q54" s="31">
        <v>37</v>
      </c>
      <c r="R54" s="31">
        <v>46</v>
      </c>
      <c r="S54" s="31">
        <v>23</v>
      </c>
      <c r="T54" s="31" t="s">
        <v>202</v>
      </c>
      <c r="U54" s="31">
        <v>96</v>
      </c>
      <c r="V54" s="31">
        <v>47</v>
      </c>
      <c r="W54" s="31">
        <v>49</v>
      </c>
      <c r="X54" s="31">
        <v>100</v>
      </c>
      <c r="Y54" s="31" t="s">
        <v>202</v>
      </c>
    </row>
    <row r="55" spans="1:25" x14ac:dyDescent="0.4">
      <c r="A55" s="32">
        <f>IF(B55&lt;&gt;"",COUNTA($B$35:B55),"")</f>
        <v>21</v>
      </c>
      <c r="B55" s="13" t="s">
        <v>86</v>
      </c>
      <c r="C55" s="13" t="s">
        <v>87</v>
      </c>
      <c r="D55" s="33">
        <f t="shared" si="30"/>
        <v>60.111111111111114</v>
      </c>
      <c r="E55" s="32" t="str">
        <f t="shared" si="32"/>
        <v>PASS</v>
      </c>
      <c r="F55" s="32" t="str">
        <f t="shared" si="31"/>
        <v>FC</v>
      </c>
      <c r="G55" s="34" t="str">
        <f t="shared" si="29"/>
        <v>FC</v>
      </c>
      <c r="H55" s="31">
        <v>27</v>
      </c>
      <c r="I55" s="31">
        <v>18</v>
      </c>
      <c r="J55" s="31">
        <v>35</v>
      </c>
      <c r="K55" s="31">
        <v>22</v>
      </c>
      <c r="L55" s="31">
        <v>24</v>
      </c>
      <c r="M55" s="31">
        <v>18</v>
      </c>
      <c r="N55" s="31">
        <v>27</v>
      </c>
      <c r="O55" s="31">
        <v>19</v>
      </c>
      <c r="P55" s="31">
        <v>39</v>
      </c>
      <c r="Q55" s="31">
        <v>22</v>
      </c>
      <c r="R55" s="31">
        <v>36</v>
      </c>
      <c r="S55" s="31">
        <v>18</v>
      </c>
      <c r="T55" s="31" t="s">
        <v>202</v>
      </c>
      <c r="U55" s="31">
        <v>60</v>
      </c>
      <c r="V55" s="31">
        <v>36</v>
      </c>
      <c r="W55" s="31">
        <v>40</v>
      </c>
      <c r="X55" s="31">
        <v>100</v>
      </c>
      <c r="Y55" s="31" t="s">
        <v>202</v>
      </c>
    </row>
    <row r="56" spans="1:25" x14ac:dyDescent="0.4">
      <c r="A56" s="32">
        <f>IF(B56&lt;&gt;"",COUNTA($B$35:B56),"")</f>
        <v>22</v>
      </c>
      <c r="B56" s="13" t="s">
        <v>88</v>
      </c>
      <c r="C56" s="13" t="s">
        <v>89</v>
      </c>
      <c r="D56" s="33">
        <f t="shared" si="30"/>
        <v>80.555555555555557</v>
      </c>
      <c r="E56" s="32" t="str">
        <f t="shared" si="32"/>
        <v>PASS</v>
      </c>
      <c r="F56" s="32" t="str">
        <f t="shared" si="31"/>
        <v>FCD</v>
      </c>
      <c r="G56" s="34" t="str">
        <f t="shared" si="29"/>
        <v>FCD</v>
      </c>
      <c r="H56" s="31">
        <v>38</v>
      </c>
      <c r="I56" s="31">
        <v>24</v>
      </c>
      <c r="J56" s="31">
        <v>48</v>
      </c>
      <c r="K56" s="31">
        <v>35</v>
      </c>
      <c r="L56" s="31">
        <v>37</v>
      </c>
      <c r="M56" s="31">
        <v>21</v>
      </c>
      <c r="N56" s="31">
        <v>43</v>
      </c>
      <c r="O56" s="31">
        <v>18</v>
      </c>
      <c r="P56" s="31">
        <v>45</v>
      </c>
      <c r="Q56" s="31">
        <v>45</v>
      </c>
      <c r="R56" s="31">
        <v>47</v>
      </c>
      <c r="S56" s="31">
        <v>31</v>
      </c>
      <c r="T56" s="31" t="s">
        <v>202</v>
      </c>
      <c r="U56" s="31">
        <v>97</v>
      </c>
      <c r="V56" s="31">
        <v>47</v>
      </c>
      <c r="W56" s="31">
        <v>49</v>
      </c>
      <c r="X56" s="31">
        <v>100</v>
      </c>
      <c r="Y56" s="31" t="s">
        <v>202</v>
      </c>
    </row>
    <row r="57" spans="1:25" x14ac:dyDescent="0.4">
      <c r="A57" s="32">
        <f>IF(B57&lt;&gt;"",COUNTA($B$35:B57),"")</f>
        <v>23</v>
      </c>
      <c r="B57" s="13" t="s">
        <v>90</v>
      </c>
      <c r="C57" s="13" t="s">
        <v>91</v>
      </c>
      <c r="D57" s="33">
        <f t="shared" si="30"/>
        <v>78.333333333333329</v>
      </c>
      <c r="E57" s="32" t="str">
        <f t="shared" si="32"/>
        <v>PASS</v>
      </c>
      <c r="F57" s="32" t="str">
        <f t="shared" si="31"/>
        <v>FCD</v>
      </c>
      <c r="G57" s="34" t="str">
        <f t="shared" si="29"/>
        <v>FCD</v>
      </c>
      <c r="H57" s="31">
        <v>45</v>
      </c>
      <c r="I57" s="31">
        <v>21</v>
      </c>
      <c r="J57" s="31">
        <v>50</v>
      </c>
      <c r="K57" s="31">
        <v>32</v>
      </c>
      <c r="L57" s="31">
        <v>36</v>
      </c>
      <c r="M57" s="31">
        <v>20</v>
      </c>
      <c r="N57" s="31">
        <v>36</v>
      </c>
      <c r="O57" s="31">
        <v>18</v>
      </c>
      <c r="P57" s="31">
        <v>44</v>
      </c>
      <c r="Q57" s="31">
        <v>44</v>
      </c>
      <c r="R57" s="31">
        <v>50</v>
      </c>
      <c r="S57" s="31">
        <v>18</v>
      </c>
      <c r="T57" s="31" t="s">
        <v>202</v>
      </c>
      <c r="U57" s="31">
        <v>97</v>
      </c>
      <c r="V57" s="31">
        <v>46</v>
      </c>
      <c r="W57" s="31">
        <v>48</v>
      </c>
      <c r="X57" s="31">
        <v>100</v>
      </c>
      <c r="Y57" s="31" t="s">
        <v>202</v>
      </c>
    </row>
    <row r="58" spans="1:25" x14ac:dyDescent="0.4">
      <c r="A58" s="32">
        <f>IF(B58&lt;&gt;"",COUNTA($B$35:B58),"")</f>
        <v>24</v>
      </c>
      <c r="B58" s="13" t="s">
        <v>92</v>
      </c>
      <c r="C58" s="13" t="s">
        <v>93</v>
      </c>
      <c r="D58" s="33">
        <f t="shared" si="30"/>
        <v>92.222222222222229</v>
      </c>
      <c r="E58" s="32" t="str">
        <f t="shared" si="32"/>
        <v>PASS</v>
      </c>
      <c r="F58" s="32" t="str">
        <f t="shared" si="31"/>
        <v>FCD</v>
      </c>
      <c r="G58" s="34" t="str">
        <f t="shared" si="29"/>
        <v>FCD</v>
      </c>
      <c r="H58" s="31">
        <v>50</v>
      </c>
      <c r="I58" s="31">
        <v>40</v>
      </c>
      <c r="J58" s="31">
        <v>50</v>
      </c>
      <c r="K58" s="31">
        <v>30</v>
      </c>
      <c r="L58" s="31">
        <v>47</v>
      </c>
      <c r="M58" s="31">
        <v>46</v>
      </c>
      <c r="N58" s="31">
        <v>49</v>
      </c>
      <c r="O58" s="31">
        <v>32</v>
      </c>
      <c r="P58" s="31">
        <v>50</v>
      </c>
      <c r="Q58" s="31">
        <v>48</v>
      </c>
      <c r="R58" s="31">
        <v>50</v>
      </c>
      <c r="S58" s="31">
        <v>40</v>
      </c>
      <c r="T58" s="31" t="s">
        <v>202</v>
      </c>
      <c r="U58" s="31">
        <v>99</v>
      </c>
      <c r="V58" s="31">
        <v>49</v>
      </c>
      <c r="W58" s="31">
        <v>50</v>
      </c>
      <c r="X58" s="31">
        <v>100</v>
      </c>
      <c r="Y58" s="31" t="s">
        <v>202</v>
      </c>
    </row>
    <row r="59" spans="1:25" x14ac:dyDescent="0.4">
      <c r="A59" s="32">
        <f>IF(B59&lt;&gt;"",COUNTA($B$35:B59),"")</f>
        <v>25</v>
      </c>
      <c r="B59" s="13" t="s">
        <v>94</v>
      </c>
      <c r="C59" s="13" t="s">
        <v>95</v>
      </c>
      <c r="D59" s="33">
        <f t="shared" si="30"/>
        <v>64.222222222222229</v>
      </c>
      <c r="E59" s="32" t="str">
        <f t="shared" si="32"/>
        <v>FAIL</v>
      </c>
      <c r="F59" s="32" t="str">
        <f t="shared" si="31"/>
        <v>FAIL</v>
      </c>
      <c r="G59" s="34" t="str">
        <f t="shared" si="29"/>
        <v>FC</v>
      </c>
      <c r="H59" s="31">
        <v>29</v>
      </c>
      <c r="I59" s="31">
        <v>18</v>
      </c>
      <c r="J59" s="31">
        <v>32</v>
      </c>
      <c r="K59" s="31">
        <v>21</v>
      </c>
      <c r="L59" s="31">
        <v>23</v>
      </c>
      <c r="M59" s="31">
        <v>38</v>
      </c>
      <c r="N59" s="31">
        <v>30</v>
      </c>
      <c r="O59" s="31">
        <v>5</v>
      </c>
      <c r="P59" s="31">
        <v>25</v>
      </c>
      <c r="Q59" s="31">
        <v>22</v>
      </c>
      <c r="R59" s="31">
        <v>44</v>
      </c>
      <c r="S59" s="31">
        <v>14</v>
      </c>
      <c r="T59" s="31" t="s">
        <v>202</v>
      </c>
      <c r="U59" s="31">
        <v>97</v>
      </c>
      <c r="V59" s="31">
        <v>40</v>
      </c>
      <c r="W59" s="31">
        <v>40</v>
      </c>
      <c r="X59" s="31">
        <v>100</v>
      </c>
      <c r="Y59" s="31" t="s">
        <v>202</v>
      </c>
    </row>
    <row r="60" spans="1:25" x14ac:dyDescent="0.4">
      <c r="A60" s="32">
        <f>IF(B60&lt;&gt;"",COUNTA($B$35:B60),"")</f>
        <v>26</v>
      </c>
      <c r="B60" s="13" t="s">
        <v>96</v>
      </c>
      <c r="C60" s="13" t="s">
        <v>97</v>
      </c>
      <c r="D60" s="33">
        <f t="shared" si="30"/>
        <v>77.333333333333329</v>
      </c>
      <c r="E60" s="32" t="str">
        <f t="shared" si="32"/>
        <v>FAIL</v>
      </c>
      <c r="F60" s="32" t="str">
        <f t="shared" si="31"/>
        <v>FAIL</v>
      </c>
      <c r="G60" s="34" t="str">
        <f t="shared" si="29"/>
        <v>FCD</v>
      </c>
      <c r="H60" s="31">
        <v>35</v>
      </c>
      <c r="I60" s="31">
        <v>22</v>
      </c>
      <c r="J60" s="31">
        <v>45</v>
      </c>
      <c r="K60" s="31">
        <v>26</v>
      </c>
      <c r="L60" s="31">
        <v>38</v>
      </c>
      <c r="M60" s="31">
        <v>34</v>
      </c>
      <c r="N60" s="31">
        <v>34</v>
      </c>
      <c r="O60" s="31">
        <v>9</v>
      </c>
      <c r="P60" s="31">
        <v>44</v>
      </c>
      <c r="Q60" s="31">
        <v>42</v>
      </c>
      <c r="R60" s="31">
        <v>49</v>
      </c>
      <c r="S60" s="31">
        <v>29</v>
      </c>
      <c r="T60" s="31" t="s">
        <v>202</v>
      </c>
      <c r="U60" s="31">
        <v>97</v>
      </c>
      <c r="V60" s="31">
        <v>45</v>
      </c>
      <c r="W60" s="31">
        <v>47</v>
      </c>
      <c r="X60" s="31" t="s">
        <v>202</v>
      </c>
      <c r="Y60" s="31">
        <v>100</v>
      </c>
    </row>
    <row r="61" spans="1:25" x14ac:dyDescent="0.4">
      <c r="A61" s="32">
        <f>IF(B61&lt;&gt;"",COUNTA($B$35:B61),"")</f>
        <v>27</v>
      </c>
      <c r="B61" s="13" t="s">
        <v>98</v>
      </c>
      <c r="C61" s="13" t="s">
        <v>99</v>
      </c>
      <c r="D61" s="33">
        <f t="shared" si="30"/>
        <v>87.444444444444443</v>
      </c>
      <c r="E61" s="32" t="str">
        <f t="shared" si="32"/>
        <v>PASS</v>
      </c>
      <c r="F61" s="32" t="str">
        <f t="shared" si="31"/>
        <v>FCD</v>
      </c>
      <c r="G61" s="34" t="str">
        <f t="shared" si="29"/>
        <v>FCD</v>
      </c>
      <c r="H61" s="31">
        <v>50</v>
      </c>
      <c r="I61" s="31">
        <v>33</v>
      </c>
      <c r="J61" s="31">
        <v>50</v>
      </c>
      <c r="K61" s="31">
        <v>37</v>
      </c>
      <c r="L61" s="31">
        <v>40</v>
      </c>
      <c r="M61" s="31">
        <v>37</v>
      </c>
      <c r="N61" s="31">
        <v>46</v>
      </c>
      <c r="O61" s="31">
        <v>22</v>
      </c>
      <c r="P61" s="31">
        <v>50</v>
      </c>
      <c r="Q61" s="31">
        <v>41</v>
      </c>
      <c r="R61" s="31">
        <v>50</v>
      </c>
      <c r="S61" s="31">
        <v>35</v>
      </c>
      <c r="T61" s="31" t="s">
        <v>202</v>
      </c>
      <c r="U61" s="31">
        <v>97</v>
      </c>
      <c r="V61" s="31">
        <v>49</v>
      </c>
      <c r="W61" s="31">
        <v>50</v>
      </c>
      <c r="X61" s="31">
        <v>100</v>
      </c>
      <c r="Y61" s="31" t="s">
        <v>202</v>
      </c>
    </row>
    <row r="62" spans="1:25" x14ac:dyDescent="0.4">
      <c r="A62" s="32">
        <f>IF(B62&lt;&gt;"",COUNTA($B$35:B62),"")</f>
        <v>28</v>
      </c>
      <c r="B62" s="13" t="s">
        <v>100</v>
      </c>
      <c r="C62" s="13" t="s">
        <v>101</v>
      </c>
      <c r="D62" s="33">
        <f t="shared" si="30"/>
        <v>70.111111111111114</v>
      </c>
      <c r="E62" s="32" t="str">
        <f t="shared" si="32"/>
        <v>PASS</v>
      </c>
      <c r="F62" s="32" t="str">
        <f t="shared" si="31"/>
        <v>FCD</v>
      </c>
      <c r="G62" s="34" t="str">
        <f t="shared" si="29"/>
        <v>FCD</v>
      </c>
      <c r="H62" s="31">
        <v>35</v>
      </c>
      <c r="I62" s="31">
        <v>18</v>
      </c>
      <c r="J62" s="31">
        <v>42</v>
      </c>
      <c r="K62" s="31">
        <v>19</v>
      </c>
      <c r="L62" s="31">
        <v>32</v>
      </c>
      <c r="M62" s="31">
        <v>19</v>
      </c>
      <c r="N62" s="31">
        <v>32</v>
      </c>
      <c r="O62" s="31">
        <v>18</v>
      </c>
      <c r="P62" s="31">
        <v>35</v>
      </c>
      <c r="Q62" s="31">
        <v>40</v>
      </c>
      <c r="R62" s="31">
        <v>45</v>
      </c>
      <c r="S62" s="31">
        <v>18</v>
      </c>
      <c r="T62" s="31" t="s">
        <v>202</v>
      </c>
      <c r="U62" s="31">
        <v>97</v>
      </c>
      <c r="V62" s="31">
        <v>40</v>
      </c>
      <c r="W62" s="31">
        <v>41</v>
      </c>
      <c r="X62" s="31">
        <v>100</v>
      </c>
      <c r="Y62" s="31" t="s">
        <v>202</v>
      </c>
    </row>
    <row r="63" spans="1:25" x14ac:dyDescent="0.4">
      <c r="A63" s="32">
        <f>IF(B63&lt;&gt;"",COUNTA($B$35:B63),"")</f>
        <v>29</v>
      </c>
      <c r="B63" s="13" t="s">
        <v>102</v>
      </c>
      <c r="C63" s="13" t="s">
        <v>103</v>
      </c>
      <c r="D63" s="33">
        <f t="shared" si="30"/>
        <v>72.444444444444443</v>
      </c>
      <c r="E63" s="32" t="str">
        <f t="shared" si="32"/>
        <v>FAIL</v>
      </c>
      <c r="F63" s="32" t="str">
        <f t="shared" si="31"/>
        <v>FAIL</v>
      </c>
      <c r="G63" s="34" t="str">
        <f t="shared" si="29"/>
        <v>FCD</v>
      </c>
      <c r="H63" s="31">
        <v>36</v>
      </c>
      <c r="I63" s="31">
        <v>14</v>
      </c>
      <c r="J63" s="31">
        <v>41</v>
      </c>
      <c r="K63" s="31">
        <v>32</v>
      </c>
      <c r="L63" s="31">
        <v>34</v>
      </c>
      <c r="M63" s="31">
        <v>19</v>
      </c>
      <c r="N63" s="31">
        <v>34</v>
      </c>
      <c r="O63" s="31">
        <v>7</v>
      </c>
      <c r="P63" s="31">
        <v>45</v>
      </c>
      <c r="Q63" s="31">
        <v>40</v>
      </c>
      <c r="R63" s="31">
        <v>45</v>
      </c>
      <c r="S63" s="31">
        <v>27</v>
      </c>
      <c r="T63" s="31" t="s">
        <v>202</v>
      </c>
      <c r="U63" s="31">
        <v>98</v>
      </c>
      <c r="V63" s="31">
        <v>39</v>
      </c>
      <c r="W63" s="31">
        <v>41</v>
      </c>
      <c r="X63" s="31">
        <v>100</v>
      </c>
      <c r="Y63" s="31" t="s">
        <v>202</v>
      </c>
    </row>
    <row r="64" spans="1:25" x14ac:dyDescent="0.4">
      <c r="A64" s="32">
        <f>IF(B64&lt;&gt;"",COUNTA($B$35:B64),"")</f>
        <v>30</v>
      </c>
      <c r="B64" s="13" t="s">
        <v>104</v>
      </c>
      <c r="C64" s="13" t="s">
        <v>105</v>
      </c>
      <c r="D64" s="33">
        <f t="shared" si="30"/>
        <v>54.888888888888886</v>
      </c>
      <c r="E64" s="32" t="str">
        <f t="shared" si="32"/>
        <v>FAIL</v>
      </c>
      <c r="F64" s="32" t="str">
        <f t="shared" si="31"/>
        <v>FAIL</v>
      </c>
      <c r="G64" s="34" t="str">
        <f t="shared" si="29"/>
        <v>SC</v>
      </c>
      <c r="H64" s="31">
        <v>22</v>
      </c>
      <c r="I64" s="31">
        <v>4</v>
      </c>
      <c r="J64" s="31">
        <v>29</v>
      </c>
      <c r="K64" s="31">
        <v>18</v>
      </c>
      <c r="L64" s="31">
        <v>21</v>
      </c>
      <c r="M64" s="31">
        <v>19</v>
      </c>
      <c r="N64" s="31">
        <v>22</v>
      </c>
      <c r="O64" s="31">
        <v>14</v>
      </c>
      <c r="P64" s="31">
        <v>25</v>
      </c>
      <c r="Q64" s="31">
        <v>23</v>
      </c>
      <c r="R64" s="31">
        <v>41</v>
      </c>
      <c r="S64" s="31">
        <v>14</v>
      </c>
      <c r="T64" s="31" t="s">
        <v>202</v>
      </c>
      <c r="U64" s="31">
        <v>97</v>
      </c>
      <c r="V64" s="31">
        <v>22</v>
      </c>
      <c r="W64" s="31">
        <v>23</v>
      </c>
      <c r="X64" s="31">
        <v>100</v>
      </c>
      <c r="Y64" s="31" t="s">
        <v>202</v>
      </c>
    </row>
    <row r="65" spans="1:25" x14ac:dyDescent="0.4">
      <c r="A65" s="32">
        <f>IF(B65&lt;&gt;"",COUNTA($B$35:B65),"")</f>
        <v>31</v>
      </c>
      <c r="B65" s="13" t="s">
        <v>106</v>
      </c>
      <c r="C65" s="13" t="s">
        <v>107</v>
      </c>
      <c r="D65" s="33">
        <f t="shared" si="30"/>
        <v>56.666666666666664</v>
      </c>
      <c r="E65" s="32" t="str">
        <f t="shared" si="32"/>
        <v>FAIL</v>
      </c>
      <c r="F65" s="32" t="str">
        <f t="shared" si="31"/>
        <v>FAIL</v>
      </c>
      <c r="G65" s="34" t="str">
        <f t="shared" si="29"/>
        <v>SC</v>
      </c>
      <c r="H65" s="31">
        <v>24</v>
      </c>
      <c r="I65" s="31">
        <v>3</v>
      </c>
      <c r="J65" s="31">
        <v>29</v>
      </c>
      <c r="K65" s="31">
        <v>18</v>
      </c>
      <c r="L65" s="31">
        <v>28</v>
      </c>
      <c r="M65" s="31">
        <v>5</v>
      </c>
      <c r="N65" s="31">
        <v>31</v>
      </c>
      <c r="O65" s="31">
        <v>7</v>
      </c>
      <c r="P65" s="31">
        <v>25</v>
      </c>
      <c r="Q65" s="31">
        <v>25</v>
      </c>
      <c r="R65" s="31">
        <v>45</v>
      </c>
      <c r="S65" s="31">
        <v>11</v>
      </c>
      <c r="T65" s="31" t="s">
        <v>202</v>
      </c>
      <c r="U65" s="31">
        <v>97</v>
      </c>
      <c r="V65" s="31">
        <v>24</v>
      </c>
      <c r="W65" s="31">
        <v>38</v>
      </c>
      <c r="X65" s="31">
        <v>100</v>
      </c>
      <c r="Y65" s="31" t="s">
        <v>202</v>
      </c>
    </row>
    <row r="66" spans="1:25" x14ac:dyDescent="0.4">
      <c r="A66" s="32">
        <f>IF(B66&lt;&gt;"",COUNTA($B$35:B66),"")</f>
        <v>32</v>
      </c>
      <c r="B66" s="13" t="s">
        <v>108</v>
      </c>
      <c r="C66" s="13" t="s">
        <v>109</v>
      </c>
      <c r="D66" s="33">
        <f t="shared" si="30"/>
        <v>69.777777777777786</v>
      </c>
      <c r="E66" s="32" t="str">
        <f t="shared" si="32"/>
        <v>FAIL</v>
      </c>
      <c r="F66" s="32" t="str">
        <f t="shared" si="31"/>
        <v>FAIL</v>
      </c>
      <c r="G66" s="34" t="str">
        <f t="shared" si="29"/>
        <v>FC</v>
      </c>
      <c r="H66" s="31">
        <v>35</v>
      </c>
      <c r="I66" s="31">
        <v>18</v>
      </c>
      <c r="J66" s="31">
        <v>35</v>
      </c>
      <c r="K66" s="31">
        <v>29</v>
      </c>
      <c r="L66" s="31">
        <v>27</v>
      </c>
      <c r="M66" s="31">
        <v>32</v>
      </c>
      <c r="N66" s="31">
        <v>32</v>
      </c>
      <c r="O66" s="31">
        <v>8</v>
      </c>
      <c r="P66" s="31">
        <v>25</v>
      </c>
      <c r="Q66" s="31">
        <v>37</v>
      </c>
      <c r="R66" s="31">
        <v>43</v>
      </c>
      <c r="S66" s="31">
        <v>32</v>
      </c>
      <c r="T66" s="31" t="s">
        <v>202</v>
      </c>
      <c r="U66" s="31">
        <v>97</v>
      </c>
      <c r="V66" s="31">
        <v>36</v>
      </c>
      <c r="W66" s="31">
        <v>42</v>
      </c>
      <c r="X66" s="31">
        <v>100</v>
      </c>
      <c r="Y66" s="31" t="s">
        <v>202</v>
      </c>
    </row>
    <row r="67" spans="1:25" x14ac:dyDescent="0.4">
      <c r="A67" s="32">
        <f>IF(B67&lt;&gt;"",COUNTA($B$35:B67),"")</f>
        <v>33</v>
      </c>
      <c r="B67" s="13" t="s">
        <v>110</v>
      </c>
      <c r="C67" s="13" t="s">
        <v>111</v>
      </c>
      <c r="D67" s="33">
        <f t="shared" si="30"/>
        <v>68</v>
      </c>
      <c r="E67" s="32" t="str">
        <f t="shared" si="32"/>
        <v>FAIL</v>
      </c>
      <c r="F67" s="32" t="str">
        <f t="shared" si="31"/>
        <v>FAIL</v>
      </c>
      <c r="G67" s="34" t="str">
        <f t="shared" si="29"/>
        <v>FC</v>
      </c>
      <c r="H67" s="31">
        <v>35</v>
      </c>
      <c r="I67" s="31">
        <v>14</v>
      </c>
      <c r="J67" s="31">
        <v>39</v>
      </c>
      <c r="K67" s="31">
        <v>32</v>
      </c>
      <c r="L67" s="31">
        <v>26</v>
      </c>
      <c r="M67" s="31">
        <v>18</v>
      </c>
      <c r="N67" s="31">
        <v>33</v>
      </c>
      <c r="O67" s="31">
        <v>12</v>
      </c>
      <c r="P67" s="31">
        <v>25</v>
      </c>
      <c r="Q67" s="31">
        <v>39</v>
      </c>
      <c r="R67" s="31">
        <v>44</v>
      </c>
      <c r="S67" s="31">
        <v>22</v>
      </c>
      <c r="T67" s="31" t="s">
        <v>202</v>
      </c>
      <c r="U67" s="31">
        <v>97</v>
      </c>
      <c r="V67" s="31">
        <v>36</v>
      </c>
      <c r="W67" s="31">
        <v>40</v>
      </c>
      <c r="X67" s="31">
        <v>100</v>
      </c>
      <c r="Y67" s="31" t="s">
        <v>202</v>
      </c>
    </row>
    <row r="68" spans="1:25" x14ac:dyDescent="0.4">
      <c r="A68" s="32">
        <f>IF(B68&lt;&gt;"",COUNTA($B$35:B68),"")</f>
        <v>34</v>
      </c>
      <c r="B68" s="13" t="s">
        <v>112</v>
      </c>
      <c r="C68" s="13" t="s">
        <v>113</v>
      </c>
      <c r="D68" s="33">
        <f t="shared" si="30"/>
        <v>77.777777777777786</v>
      </c>
      <c r="E68" s="32" t="str">
        <f t="shared" si="32"/>
        <v>PASS</v>
      </c>
      <c r="F68" s="32" t="str">
        <f t="shared" si="31"/>
        <v>FCD</v>
      </c>
      <c r="G68" s="34" t="str">
        <f t="shared" si="29"/>
        <v>FCD</v>
      </c>
      <c r="H68" s="31">
        <v>41</v>
      </c>
      <c r="I68" s="31">
        <v>20</v>
      </c>
      <c r="J68" s="31">
        <v>47</v>
      </c>
      <c r="K68" s="31">
        <v>34</v>
      </c>
      <c r="L68" s="31">
        <v>34</v>
      </c>
      <c r="M68" s="31">
        <v>23</v>
      </c>
      <c r="N68" s="31">
        <v>35</v>
      </c>
      <c r="O68" s="31">
        <v>22</v>
      </c>
      <c r="P68" s="31">
        <v>42</v>
      </c>
      <c r="Q68" s="31">
        <v>38</v>
      </c>
      <c r="R68" s="31">
        <v>46</v>
      </c>
      <c r="S68" s="31">
        <v>33</v>
      </c>
      <c r="T68" s="31" t="s">
        <v>202</v>
      </c>
      <c r="U68" s="31">
        <v>97</v>
      </c>
      <c r="V68" s="31">
        <v>41</v>
      </c>
      <c r="W68" s="31">
        <v>47</v>
      </c>
      <c r="X68" s="31">
        <v>100</v>
      </c>
      <c r="Y68" s="31" t="s">
        <v>202</v>
      </c>
    </row>
    <row r="69" spans="1:25" x14ac:dyDescent="0.4">
      <c r="A69" s="32">
        <f>IF(B69&lt;&gt;"",COUNTA($B$35:B69),"")</f>
        <v>35</v>
      </c>
      <c r="B69" s="13" t="s">
        <v>114</v>
      </c>
      <c r="C69" s="13" t="s">
        <v>115</v>
      </c>
      <c r="D69" s="33">
        <f t="shared" si="30"/>
        <v>73.555555555555557</v>
      </c>
      <c r="E69" s="32" t="str">
        <f t="shared" si="32"/>
        <v>FAIL</v>
      </c>
      <c r="F69" s="32" t="str">
        <f t="shared" si="31"/>
        <v>FAIL</v>
      </c>
      <c r="G69" s="34" t="str">
        <f t="shared" si="29"/>
        <v>FCD</v>
      </c>
      <c r="H69" s="31">
        <v>40</v>
      </c>
      <c r="I69" s="31">
        <v>8</v>
      </c>
      <c r="J69" s="31">
        <v>48</v>
      </c>
      <c r="K69" s="31">
        <v>30</v>
      </c>
      <c r="L69" s="31">
        <v>31</v>
      </c>
      <c r="M69" s="31">
        <v>22</v>
      </c>
      <c r="N69" s="31">
        <v>38</v>
      </c>
      <c r="O69" s="31">
        <v>9</v>
      </c>
      <c r="P69" s="31">
        <v>35</v>
      </c>
      <c r="Q69" s="31">
        <v>41</v>
      </c>
      <c r="R69" s="31">
        <v>49</v>
      </c>
      <c r="S69" s="31">
        <v>21</v>
      </c>
      <c r="T69" s="31" t="s">
        <v>202</v>
      </c>
      <c r="U69" s="31">
        <v>97</v>
      </c>
      <c r="V69" s="31">
        <v>46</v>
      </c>
      <c r="W69" s="31">
        <v>47</v>
      </c>
      <c r="X69" s="31">
        <v>100</v>
      </c>
      <c r="Y69" s="31" t="s">
        <v>202</v>
      </c>
    </row>
    <row r="70" spans="1:25" x14ac:dyDescent="0.4">
      <c r="A70" s="32">
        <f>IF(B70&lt;&gt;"",COUNTA($B$35:B70),"")</f>
        <v>36</v>
      </c>
      <c r="B70" s="13" t="s">
        <v>116</v>
      </c>
      <c r="C70" s="13" t="s">
        <v>117</v>
      </c>
      <c r="D70" s="33">
        <f t="shared" si="30"/>
        <v>81.888888888888886</v>
      </c>
      <c r="E70" s="32" t="str">
        <f t="shared" si="32"/>
        <v>PASS</v>
      </c>
      <c r="F70" s="32" t="str">
        <f t="shared" si="31"/>
        <v>FCD</v>
      </c>
      <c r="G70" s="34" t="str">
        <f t="shared" si="29"/>
        <v>FCD</v>
      </c>
      <c r="H70" s="31">
        <v>40</v>
      </c>
      <c r="I70" s="31">
        <v>32</v>
      </c>
      <c r="J70" s="31">
        <v>49</v>
      </c>
      <c r="K70" s="31">
        <v>32</v>
      </c>
      <c r="L70" s="31">
        <v>43</v>
      </c>
      <c r="M70" s="31">
        <v>27</v>
      </c>
      <c r="N70" s="31">
        <v>40</v>
      </c>
      <c r="O70" s="31">
        <v>21</v>
      </c>
      <c r="P70" s="31">
        <v>35</v>
      </c>
      <c r="Q70" s="31">
        <v>39</v>
      </c>
      <c r="R70" s="31">
        <v>49</v>
      </c>
      <c r="S70" s="31">
        <v>38</v>
      </c>
      <c r="T70" s="31" t="s">
        <v>202</v>
      </c>
      <c r="U70" s="31">
        <v>97</v>
      </c>
      <c r="V70" s="31">
        <v>47</v>
      </c>
      <c r="W70" s="31">
        <v>48</v>
      </c>
      <c r="X70" s="31">
        <v>100</v>
      </c>
      <c r="Y70" s="31" t="s">
        <v>202</v>
      </c>
    </row>
    <row r="71" spans="1:25" x14ac:dyDescent="0.4">
      <c r="A71" s="32">
        <f>IF(B71&lt;&gt;"",COUNTA($B$35:B71),"")</f>
        <v>37</v>
      </c>
      <c r="B71" s="13" t="s">
        <v>118</v>
      </c>
      <c r="C71" s="13" t="s">
        <v>119</v>
      </c>
      <c r="D71" s="33">
        <f t="shared" si="30"/>
        <v>79.777777777777786</v>
      </c>
      <c r="E71" s="32" t="str">
        <f t="shared" si="32"/>
        <v>PASS</v>
      </c>
      <c r="F71" s="32" t="str">
        <f t="shared" si="31"/>
        <v>FCD</v>
      </c>
      <c r="G71" s="34" t="str">
        <f t="shared" si="29"/>
        <v>FCD</v>
      </c>
      <c r="H71" s="31">
        <v>44</v>
      </c>
      <c r="I71" s="31">
        <v>24</v>
      </c>
      <c r="J71" s="31">
        <v>46</v>
      </c>
      <c r="K71" s="31">
        <v>37</v>
      </c>
      <c r="L71" s="31">
        <v>30</v>
      </c>
      <c r="M71" s="31">
        <v>19</v>
      </c>
      <c r="N71" s="31">
        <v>35</v>
      </c>
      <c r="O71" s="31">
        <v>20</v>
      </c>
      <c r="P71" s="31">
        <v>47</v>
      </c>
      <c r="Q71" s="31">
        <v>42</v>
      </c>
      <c r="R71" s="31">
        <v>50</v>
      </c>
      <c r="S71" s="31">
        <v>31</v>
      </c>
      <c r="T71" s="31" t="s">
        <v>202</v>
      </c>
      <c r="U71" s="31">
        <v>97</v>
      </c>
      <c r="V71" s="31">
        <v>47</v>
      </c>
      <c r="W71" s="31">
        <v>49</v>
      </c>
      <c r="X71" s="31">
        <v>100</v>
      </c>
      <c r="Y71" s="31" t="s">
        <v>202</v>
      </c>
    </row>
    <row r="72" spans="1:25" x14ac:dyDescent="0.4">
      <c r="A72" s="32">
        <f>IF(B72&lt;&gt;"",COUNTA($B$35:B72),"")</f>
        <v>38</v>
      </c>
      <c r="B72" s="13" t="s">
        <v>120</v>
      </c>
      <c r="C72" s="13" t="s">
        <v>121</v>
      </c>
      <c r="D72" s="33">
        <f t="shared" si="30"/>
        <v>83.666666666666671</v>
      </c>
      <c r="E72" s="32" t="str">
        <f t="shared" si="32"/>
        <v>PASS</v>
      </c>
      <c r="F72" s="32" t="str">
        <f t="shared" si="31"/>
        <v>FCD</v>
      </c>
      <c r="G72" s="34" t="str">
        <f t="shared" si="29"/>
        <v>FCD</v>
      </c>
      <c r="H72" s="31">
        <v>41</v>
      </c>
      <c r="I72" s="31">
        <v>42</v>
      </c>
      <c r="J72" s="31">
        <v>48</v>
      </c>
      <c r="K72" s="31">
        <v>33</v>
      </c>
      <c r="L72" s="31">
        <v>41</v>
      </c>
      <c r="M72" s="31">
        <v>28</v>
      </c>
      <c r="N72" s="31">
        <v>42</v>
      </c>
      <c r="O72" s="31">
        <v>23</v>
      </c>
      <c r="P72" s="31">
        <v>45</v>
      </c>
      <c r="Q72" s="31">
        <v>41</v>
      </c>
      <c r="R72" s="31">
        <v>50</v>
      </c>
      <c r="S72" s="31">
        <v>32</v>
      </c>
      <c r="T72" s="31" t="s">
        <v>202</v>
      </c>
      <c r="U72" s="31">
        <v>97</v>
      </c>
      <c r="V72" s="31">
        <v>48</v>
      </c>
      <c r="W72" s="31">
        <v>42</v>
      </c>
      <c r="X72" s="31">
        <v>100</v>
      </c>
      <c r="Y72" s="31" t="s">
        <v>202</v>
      </c>
    </row>
    <row r="73" spans="1:25" x14ac:dyDescent="0.4">
      <c r="A73" s="32">
        <f>IF(B73&lt;&gt;"",COUNTA($B$35:B73),"")</f>
        <v>39</v>
      </c>
      <c r="B73" s="13" t="s">
        <v>122</v>
      </c>
      <c r="C73" s="13" t="s">
        <v>123</v>
      </c>
      <c r="D73" s="33">
        <f t="shared" si="30"/>
        <v>87.666666666666671</v>
      </c>
      <c r="E73" s="32" t="str">
        <f t="shared" ref="E73:E104" si="33">IF(ISBLANK(B73),"",IF(OR(I73&lt;18,K73&lt;18,M73&lt;18,O73&lt;18,Q73&lt;18,S73&lt;18,U73&lt;18,W73&lt;18),"FAIL","PASS"))</f>
        <v>PASS</v>
      </c>
      <c r="F73" s="32" t="str">
        <f t="shared" si="31"/>
        <v>FCD</v>
      </c>
      <c r="G73" s="34" t="str">
        <f t="shared" si="29"/>
        <v>FCD</v>
      </c>
      <c r="H73" s="31">
        <v>50</v>
      </c>
      <c r="I73" s="31">
        <v>46</v>
      </c>
      <c r="J73" s="31">
        <v>48</v>
      </c>
      <c r="K73" s="31">
        <v>32</v>
      </c>
      <c r="L73" s="31">
        <v>37</v>
      </c>
      <c r="M73" s="31">
        <v>30</v>
      </c>
      <c r="N73" s="31">
        <v>49</v>
      </c>
      <c r="O73" s="31">
        <v>33</v>
      </c>
      <c r="P73" s="31">
        <v>45</v>
      </c>
      <c r="Q73" s="31">
        <v>39</v>
      </c>
      <c r="R73" s="31">
        <v>50</v>
      </c>
      <c r="S73" s="31">
        <v>35</v>
      </c>
      <c r="T73" s="31" t="s">
        <v>202</v>
      </c>
      <c r="U73" s="31">
        <v>99</v>
      </c>
      <c r="V73" s="31">
        <v>48</v>
      </c>
      <c r="W73" s="31">
        <v>48</v>
      </c>
      <c r="X73" s="31">
        <v>100</v>
      </c>
      <c r="Y73" s="31" t="s">
        <v>202</v>
      </c>
    </row>
    <row r="74" spans="1:25" x14ac:dyDescent="0.4">
      <c r="A74" s="32">
        <f>IF(B74&lt;&gt;"",COUNTA($B$35:B74),"")</f>
        <v>40</v>
      </c>
      <c r="B74" s="13" t="s">
        <v>124</v>
      </c>
      <c r="C74" s="13" t="s">
        <v>125</v>
      </c>
      <c r="D74" s="33">
        <f t="shared" si="30"/>
        <v>80.555555555555557</v>
      </c>
      <c r="E74" s="32" t="str">
        <f t="shared" si="33"/>
        <v>PASS</v>
      </c>
      <c r="F74" s="32" t="str">
        <f t="shared" si="31"/>
        <v>FCD</v>
      </c>
      <c r="G74" s="34" t="str">
        <f t="shared" si="29"/>
        <v>FCD</v>
      </c>
      <c r="H74" s="31">
        <v>42</v>
      </c>
      <c r="I74" s="31">
        <v>23</v>
      </c>
      <c r="J74" s="31">
        <v>50</v>
      </c>
      <c r="K74" s="31">
        <v>36</v>
      </c>
      <c r="L74" s="31">
        <v>35</v>
      </c>
      <c r="M74" s="31">
        <v>27</v>
      </c>
      <c r="N74" s="31">
        <v>48</v>
      </c>
      <c r="O74" s="31">
        <v>18</v>
      </c>
      <c r="P74" s="31">
        <v>45</v>
      </c>
      <c r="Q74" s="31">
        <v>32</v>
      </c>
      <c r="R74" s="31">
        <v>49</v>
      </c>
      <c r="S74" s="31">
        <v>25</v>
      </c>
      <c r="T74" s="31" t="s">
        <v>202</v>
      </c>
      <c r="U74" s="31">
        <v>99</v>
      </c>
      <c r="V74" s="31">
        <v>48</v>
      </c>
      <c r="W74" s="31">
        <v>48</v>
      </c>
      <c r="X74" s="31">
        <v>100</v>
      </c>
      <c r="Y74" s="31" t="s">
        <v>202</v>
      </c>
    </row>
    <row r="75" spans="1:25" x14ac:dyDescent="0.4">
      <c r="A75" s="32">
        <f>IF(B75&lt;&gt;"",COUNTA($B$35:B75),"")</f>
        <v>41</v>
      </c>
      <c r="B75" s="13" t="s">
        <v>126</v>
      </c>
      <c r="C75" s="13" t="s">
        <v>127</v>
      </c>
      <c r="D75" s="33">
        <f t="shared" si="30"/>
        <v>80.444444444444443</v>
      </c>
      <c r="E75" s="32" t="str">
        <f t="shared" si="33"/>
        <v>PASS</v>
      </c>
      <c r="F75" s="32" t="str">
        <f t="shared" si="31"/>
        <v>FCD</v>
      </c>
      <c r="G75" s="34" t="str">
        <f t="shared" si="29"/>
        <v>FCD</v>
      </c>
      <c r="H75" s="31">
        <v>47</v>
      </c>
      <c r="I75" s="31">
        <v>32</v>
      </c>
      <c r="J75" s="31">
        <v>48</v>
      </c>
      <c r="K75" s="31">
        <v>33</v>
      </c>
      <c r="L75" s="31">
        <v>35</v>
      </c>
      <c r="M75" s="31">
        <v>21</v>
      </c>
      <c r="N75" s="31">
        <v>39</v>
      </c>
      <c r="O75" s="31">
        <v>20</v>
      </c>
      <c r="P75" s="31">
        <v>46</v>
      </c>
      <c r="Q75" s="31">
        <v>37</v>
      </c>
      <c r="R75" s="31">
        <v>50</v>
      </c>
      <c r="S75" s="31">
        <v>28</v>
      </c>
      <c r="T75" s="31" t="s">
        <v>202</v>
      </c>
      <c r="U75" s="31">
        <v>99</v>
      </c>
      <c r="V75" s="31">
        <v>47</v>
      </c>
      <c r="W75" s="31">
        <v>42</v>
      </c>
      <c r="X75" s="31">
        <v>100</v>
      </c>
      <c r="Y75" s="31" t="s">
        <v>202</v>
      </c>
    </row>
    <row r="76" spans="1:25" x14ac:dyDescent="0.4">
      <c r="A76" s="32">
        <f>IF(B76&lt;&gt;"",COUNTA($B$35:B76),"")</f>
        <v>42</v>
      </c>
      <c r="B76" s="13" t="s">
        <v>128</v>
      </c>
      <c r="C76" s="13" t="s">
        <v>129</v>
      </c>
      <c r="D76" s="33">
        <f t="shared" si="30"/>
        <v>65.888888888888886</v>
      </c>
      <c r="E76" s="32" t="str">
        <f t="shared" si="33"/>
        <v>FAIL</v>
      </c>
      <c r="F76" s="32" t="str">
        <f t="shared" si="31"/>
        <v>FAIL</v>
      </c>
      <c r="G76" s="34" t="str">
        <f t="shared" si="29"/>
        <v>FC</v>
      </c>
      <c r="H76" s="31">
        <v>35</v>
      </c>
      <c r="I76" s="31">
        <v>5</v>
      </c>
      <c r="J76" s="31">
        <v>39</v>
      </c>
      <c r="K76" s="31">
        <v>20</v>
      </c>
      <c r="L76" s="31">
        <v>26</v>
      </c>
      <c r="M76" s="31">
        <v>12</v>
      </c>
      <c r="N76" s="31">
        <v>28</v>
      </c>
      <c r="O76" s="31">
        <v>9</v>
      </c>
      <c r="P76" s="31">
        <v>40</v>
      </c>
      <c r="Q76" s="31">
        <v>34</v>
      </c>
      <c r="R76" s="31">
        <v>46</v>
      </c>
      <c r="S76" s="31">
        <v>30</v>
      </c>
      <c r="T76" s="31" t="s">
        <v>202</v>
      </c>
      <c r="U76" s="31">
        <v>97</v>
      </c>
      <c r="V76" s="31">
        <v>39</v>
      </c>
      <c r="W76" s="31">
        <v>33</v>
      </c>
      <c r="X76" s="31">
        <v>100</v>
      </c>
      <c r="Y76" s="31" t="s">
        <v>202</v>
      </c>
    </row>
    <row r="77" spans="1:25" x14ac:dyDescent="0.4">
      <c r="A77" s="32">
        <f>IF(B77&lt;&gt;"",COUNTA($B$35:B77),"")</f>
        <v>43</v>
      </c>
      <c r="B77" s="13" t="s">
        <v>130</v>
      </c>
      <c r="C77" s="13" t="s">
        <v>131</v>
      </c>
      <c r="D77" s="33">
        <f t="shared" si="30"/>
        <v>71.444444444444443</v>
      </c>
      <c r="E77" s="32" t="str">
        <f t="shared" si="33"/>
        <v>FAIL</v>
      </c>
      <c r="F77" s="32" t="str">
        <f t="shared" si="31"/>
        <v>FAIL</v>
      </c>
      <c r="G77" s="34" t="str">
        <f t="shared" si="29"/>
        <v>FCD</v>
      </c>
      <c r="H77" s="31">
        <v>39</v>
      </c>
      <c r="I77" s="31">
        <v>13</v>
      </c>
      <c r="J77" s="31">
        <v>42</v>
      </c>
      <c r="K77" s="31">
        <v>28</v>
      </c>
      <c r="L77" s="31">
        <v>27</v>
      </c>
      <c r="M77" s="31">
        <v>18</v>
      </c>
      <c r="N77" s="31">
        <v>28</v>
      </c>
      <c r="O77" s="31">
        <v>18</v>
      </c>
      <c r="P77" s="31">
        <v>46</v>
      </c>
      <c r="Q77" s="31">
        <v>39</v>
      </c>
      <c r="R77" s="31">
        <v>44</v>
      </c>
      <c r="S77" s="31">
        <v>24</v>
      </c>
      <c r="T77" s="31" t="s">
        <v>202</v>
      </c>
      <c r="U77" s="31">
        <v>99</v>
      </c>
      <c r="V77" s="31">
        <v>40</v>
      </c>
      <c r="W77" s="31">
        <v>38</v>
      </c>
      <c r="X77" s="31">
        <v>100</v>
      </c>
      <c r="Y77" s="31" t="s">
        <v>202</v>
      </c>
    </row>
    <row r="78" spans="1:25" x14ac:dyDescent="0.4">
      <c r="A78" s="32">
        <f>IF(B78&lt;&gt;"",COUNTA($B$35:B78),"")</f>
        <v>44</v>
      </c>
      <c r="B78" s="13" t="s">
        <v>132</v>
      </c>
      <c r="C78" s="13" t="s">
        <v>133</v>
      </c>
      <c r="D78" s="33">
        <f t="shared" si="30"/>
        <v>71.777777777777771</v>
      </c>
      <c r="E78" s="32" t="str">
        <f t="shared" si="33"/>
        <v>FAIL</v>
      </c>
      <c r="F78" s="32" t="str">
        <f t="shared" si="31"/>
        <v>FAIL</v>
      </c>
      <c r="G78" s="34" t="str">
        <f t="shared" si="29"/>
        <v>FCD</v>
      </c>
      <c r="H78" s="31">
        <v>35</v>
      </c>
      <c r="I78" s="31">
        <v>12</v>
      </c>
      <c r="J78" s="31">
        <v>40</v>
      </c>
      <c r="K78" s="31">
        <v>25</v>
      </c>
      <c r="L78" s="31">
        <v>32</v>
      </c>
      <c r="M78" s="31">
        <v>29</v>
      </c>
      <c r="N78" s="31">
        <v>33</v>
      </c>
      <c r="O78" s="31">
        <v>15</v>
      </c>
      <c r="P78" s="31">
        <v>40</v>
      </c>
      <c r="Q78" s="31">
        <v>35</v>
      </c>
      <c r="R78" s="31">
        <v>45</v>
      </c>
      <c r="S78" s="31">
        <v>24</v>
      </c>
      <c r="T78" s="31" t="s">
        <v>202</v>
      </c>
      <c r="U78" s="31">
        <v>98</v>
      </c>
      <c r="V78" s="31">
        <v>43</v>
      </c>
      <c r="W78" s="31">
        <v>40</v>
      </c>
      <c r="X78" s="31">
        <v>100</v>
      </c>
      <c r="Y78" s="31" t="s">
        <v>202</v>
      </c>
    </row>
    <row r="79" spans="1:25" x14ac:dyDescent="0.4">
      <c r="A79" s="32">
        <f>IF(B79&lt;&gt;"",COUNTA($B$35:B79),"")</f>
        <v>45</v>
      </c>
      <c r="B79" s="13" t="s">
        <v>134</v>
      </c>
      <c r="C79" s="14" t="s">
        <v>135</v>
      </c>
      <c r="D79" s="33">
        <f t="shared" si="30"/>
        <v>77.555555555555557</v>
      </c>
      <c r="E79" s="32" t="str">
        <f t="shared" si="33"/>
        <v>PASS</v>
      </c>
      <c r="F79" s="32" t="str">
        <f t="shared" si="31"/>
        <v>FCD</v>
      </c>
      <c r="G79" s="34" t="str">
        <f t="shared" si="29"/>
        <v>FCD</v>
      </c>
      <c r="H79" s="35">
        <v>42</v>
      </c>
      <c r="I79" s="35">
        <v>22</v>
      </c>
      <c r="J79" s="35">
        <v>43</v>
      </c>
      <c r="K79" s="35">
        <v>28</v>
      </c>
      <c r="L79" s="35">
        <v>37</v>
      </c>
      <c r="M79" s="35">
        <v>21</v>
      </c>
      <c r="N79" s="35">
        <v>40</v>
      </c>
      <c r="O79" s="35">
        <v>25</v>
      </c>
      <c r="P79" s="35">
        <v>48</v>
      </c>
      <c r="Q79" s="35">
        <v>40</v>
      </c>
      <c r="R79" s="35">
        <v>47</v>
      </c>
      <c r="S79" s="31">
        <v>18</v>
      </c>
      <c r="T79" s="31" t="s">
        <v>202</v>
      </c>
      <c r="U79" s="31">
        <v>97</v>
      </c>
      <c r="V79" s="35">
        <v>44</v>
      </c>
      <c r="W79" s="31">
        <v>46</v>
      </c>
      <c r="X79" s="35">
        <v>100</v>
      </c>
      <c r="Y79" s="31" t="s">
        <v>202</v>
      </c>
    </row>
    <row r="80" spans="1:25" x14ac:dyDescent="0.4">
      <c r="A80" s="32">
        <f>IF(B80&lt;&gt;"",COUNTA($B$35:B80),"")</f>
        <v>46</v>
      </c>
      <c r="B80" s="13" t="s">
        <v>136</v>
      </c>
      <c r="C80" s="13" t="s">
        <v>137</v>
      </c>
      <c r="D80" s="33">
        <f t="shared" si="30"/>
        <v>59.444444444444443</v>
      </c>
      <c r="E80" s="32" t="str">
        <f t="shared" si="33"/>
        <v>FAIL</v>
      </c>
      <c r="F80" s="32" t="str">
        <f t="shared" si="31"/>
        <v>FAIL</v>
      </c>
      <c r="G80" s="34" t="str">
        <f t="shared" si="29"/>
        <v>SC</v>
      </c>
      <c r="H80" s="31">
        <v>27</v>
      </c>
      <c r="I80" s="31">
        <v>9</v>
      </c>
      <c r="J80" s="31">
        <v>39</v>
      </c>
      <c r="K80" s="31">
        <v>21</v>
      </c>
      <c r="L80" s="31">
        <v>24</v>
      </c>
      <c r="M80" s="31">
        <v>11</v>
      </c>
      <c r="N80" s="31">
        <v>22</v>
      </c>
      <c r="O80" s="31">
        <v>18</v>
      </c>
      <c r="P80" s="31">
        <v>40</v>
      </c>
      <c r="Q80" s="31">
        <v>26</v>
      </c>
      <c r="R80" s="31">
        <v>37</v>
      </c>
      <c r="S80" s="31">
        <v>12</v>
      </c>
      <c r="T80" s="31" t="s">
        <v>202</v>
      </c>
      <c r="U80" s="31">
        <v>90</v>
      </c>
      <c r="V80" s="31">
        <v>34</v>
      </c>
      <c r="W80" s="31">
        <v>25</v>
      </c>
      <c r="X80" s="31">
        <v>100</v>
      </c>
      <c r="Y80" s="31" t="s">
        <v>202</v>
      </c>
    </row>
    <row r="81" spans="1:25" x14ac:dyDescent="0.4">
      <c r="A81" s="32">
        <f>IF(B81&lt;&gt;"",COUNTA($B$35:B81),"")</f>
        <v>47</v>
      </c>
      <c r="B81" s="13" t="s">
        <v>138</v>
      </c>
      <c r="C81" s="13" t="s">
        <v>139</v>
      </c>
      <c r="D81" s="33">
        <f t="shared" si="30"/>
        <v>75.555555555555557</v>
      </c>
      <c r="E81" s="32" t="str">
        <f t="shared" si="33"/>
        <v>FAIL</v>
      </c>
      <c r="F81" s="32" t="str">
        <f t="shared" si="31"/>
        <v>FAIL</v>
      </c>
      <c r="G81" s="34" t="str">
        <f t="shared" si="29"/>
        <v>FCD</v>
      </c>
      <c r="H81" s="31">
        <v>40</v>
      </c>
      <c r="I81" s="31">
        <v>23</v>
      </c>
      <c r="J81" s="31">
        <v>48</v>
      </c>
      <c r="K81" s="31">
        <v>19</v>
      </c>
      <c r="L81" s="31">
        <v>44</v>
      </c>
      <c r="M81" s="31">
        <v>18</v>
      </c>
      <c r="N81" s="31">
        <v>38</v>
      </c>
      <c r="O81" s="31">
        <v>5</v>
      </c>
      <c r="P81" s="31">
        <v>47</v>
      </c>
      <c r="Q81" s="31">
        <v>35</v>
      </c>
      <c r="R81" s="31">
        <v>49</v>
      </c>
      <c r="S81" s="31">
        <v>25</v>
      </c>
      <c r="T81" s="31" t="s">
        <v>202</v>
      </c>
      <c r="U81" s="31">
        <v>98</v>
      </c>
      <c r="V81" s="31">
        <v>45</v>
      </c>
      <c r="W81" s="31">
        <v>46</v>
      </c>
      <c r="X81" s="31">
        <v>100</v>
      </c>
      <c r="Y81" s="31" t="s">
        <v>202</v>
      </c>
    </row>
    <row r="82" spans="1:25" x14ac:dyDescent="0.4">
      <c r="A82" s="32">
        <f>IF(B82&lt;&gt;"",COUNTA($B$35:B82),"")</f>
        <v>48</v>
      </c>
      <c r="B82" s="13" t="s">
        <v>140</v>
      </c>
      <c r="C82" s="13" t="s">
        <v>141</v>
      </c>
      <c r="D82" s="33">
        <f t="shared" si="30"/>
        <v>77</v>
      </c>
      <c r="E82" s="32" t="str">
        <f t="shared" si="33"/>
        <v>PASS</v>
      </c>
      <c r="F82" s="32" t="str">
        <f t="shared" si="31"/>
        <v>FCD</v>
      </c>
      <c r="G82" s="34" t="str">
        <f t="shared" si="29"/>
        <v>FCD</v>
      </c>
      <c r="H82" s="31">
        <v>39</v>
      </c>
      <c r="I82" s="31">
        <v>22</v>
      </c>
      <c r="J82" s="31">
        <v>47</v>
      </c>
      <c r="K82" s="31">
        <v>24</v>
      </c>
      <c r="L82" s="35">
        <v>37</v>
      </c>
      <c r="M82" s="31">
        <v>21</v>
      </c>
      <c r="N82" s="31">
        <v>37</v>
      </c>
      <c r="O82" s="31">
        <v>22</v>
      </c>
      <c r="P82" s="31">
        <v>48</v>
      </c>
      <c r="Q82" s="31">
        <v>35</v>
      </c>
      <c r="R82" s="31">
        <v>49</v>
      </c>
      <c r="S82" s="31">
        <v>20</v>
      </c>
      <c r="T82" s="31" t="s">
        <v>202</v>
      </c>
      <c r="U82" s="31">
        <v>99</v>
      </c>
      <c r="V82" s="31">
        <v>46</v>
      </c>
      <c r="W82" s="31">
        <v>47</v>
      </c>
      <c r="X82" s="31">
        <v>100</v>
      </c>
      <c r="Y82" s="31" t="s">
        <v>202</v>
      </c>
    </row>
    <row r="83" spans="1:25" x14ac:dyDescent="0.4">
      <c r="A83" s="32">
        <f>IF(B83&lt;&gt;"",COUNTA($B$35:B83),"")</f>
        <v>49</v>
      </c>
      <c r="B83" s="13" t="s">
        <v>142</v>
      </c>
      <c r="C83" s="13" t="s">
        <v>143</v>
      </c>
      <c r="D83" s="33">
        <f t="shared" si="30"/>
        <v>75.1111111111111</v>
      </c>
      <c r="E83" s="32" t="str">
        <f t="shared" si="33"/>
        <v>FAIL</v>
      </c>
      <c r="F83" s="32" t="str">
        <f t="shared" si="31"/>
        <v>FAIL</v>
      </c>
      <c r="G83" s="34" t="str">
        <f t="shared" si="29"/>
        <v>FCD</v>
      </c>
      <c r="H83" s="31">
        <v>38</v>
      </c>
      <c r="I83" s="31">
        <v>9</v>
      </c>
      <c r="J83" s="31">
        <v>47</v>
      </c>
      <c r="K83" s="31">
        <v>23</v>
      </c>
      <c r="L83" s="31">
        <v>48</v>
      </c>
      <c r="M83" s="31">
        <v>18</v>
      </c>
      <c r="N83" s="31">
        <v>35</v>
      </c>
      <c r="O83" s="31">
        <v>18</v>
      </c>
      <c r="P83" s="31">
        <v>47</v>
      </c>
      <c r="Q83" s="31">
        <v>33</v>
      </c>
      <c r="R83" s="31">
        <v>48</v>
      </c>
      <c r="S83" s="31">
        <v>28</v>
      </c>
      <c r="T83" s="31" t="s">
        <v>202</v>
      </c>
      <c r="U83" s="31">
        <v>97</v>
      </c>
      <c r="V83" s="31">
        <v>47</v>
      </c>
      <c r="W83" s="31">
        <v>40</v>
      </c>
      <c r="X83" s="31">
        <v>100</v>
      </c>
      <c r="Y83" s="31" t="s">
        <v>202</v>
      </c>
    </row>
    <row r="84" spans="1:25" x14ac:dyDescent="0.4">
      <c r="A84" s="32">
        <f>IF(B84&lt;&gt;"",COUNTA($B$35:B84),"")</f>
        <v>50</v>
      </c>
      <c r="B84" s="13" t="s">
        <v>144</v>
      </c>
      <c r="C84" s="13" t="s">
        <v>145</v>
      </c>
      <c r="D84" s="33">
        <f t="shared" si="30"/>
        <v>74.777777777777771</v>
      </c>
      <c r="E84" s="32" t="str">
        <f t="shared" si="33"/>
        <v>PASS</v>
      </c>
      <c r="F84" s="32" t="str">
        <f t="shared" si="31"/>
        <v>FCD</v>
      </c>
      <c r="G84" s="34" t="str">
        <f t="shared" si="29"/>
        <v>FCD</v>
      </c>
      <c r="H84" s="31">
        <v>36</v>
      </c>
      <c r="I84" s="31">
        <v>22</v>
      </c>
      <c r="J84" s="31">
        <v>44</v>
      </c>
      <c r="K84" s="31">
        <v>32</v>
      </c>
      <c r="L84" s="31">
        <v>31</v>
      </c>
      <c r="M84" s="31">
        <v>18</v>
      </c>
      <c r="N84" s="31">
        <v>32</v>
      </c>
      <c r="O84" s="31">
        <v>18</v>
      </c>
      <c r="P84" s="31">
        <v>44</v>
      </c>
      <c r="Q84" s="31">
        <v>32</v>
      </c>
      <c r="R84" s="31">
        <v>49</v>
      </c>
      <c r="S84" s="31">
        <v>33</v>
      </c>
      <c r="T84" s="31" t="s">
        <v>202</v>
      </c>
      <c r="U84" s="31">
        <v>97</v>
      </c>
      <c r="V84" s="31">
        <v>45</v>
      </c>
      <c r="W84" s="31">
        <v>40</v>
      </c>
      <c r="X84" s="31">
        <v>100</v>
      </c>
      <c r="Y84" s="31" t="s">
        <v>202</v>
      </c>
    </row>
    <row r="85" spans="1:25" x14ac:dyDescent="0.4">
      <c r="A85" s="32">
        <f>IF(B85&lt;&gt;"",COUNTA($B$35:B85),"")</f>
        <v>51</v>
      </c>
      <c r="B85" s="13" t="s">
        <v>146</v>
      </c>
      <c r="C85" s="13" t="s">
        <v>147</v>
      </c>
      <c r="D85" s="33">
        <f t="shared" si="30"/>
        <v>72.888888888888886</v>
      </c>
      <c r="E85" s="32" t="str">
        <f t="shared" si="33"/>
        <v>FAIL</v>
      </c>
      <c r="F85" s="32" t="str">
        <f t="shared" si="31"/>
        <v>FAIL</v>
      </c>
      <c r="G85" s="34" t="str">
        <f t="shared" si="29"/>
        <v>FCD</v>
      </c>
      <c r="H85" s="31">
        <v>35</v>
      </c>
      <c r="I85" s="31">
        <v>18</v>
      </c>
      <c r="J85" s="31">
        <v>44</v>
      </c>
      <c r="K85" s="31">
        <v>28</v>
      </c>
      <c r="L85" s="31">
        <v>30</v>
      </c>
      <c r="M85" s="31">
        <v>21</v>
      </c>
      <c r="N85" s="31">
        <v>36</v>
      </c>
      <c r="O85" s="31">
        <v>11</v>
      </c>
      <c r="P85" s="31">
        <v>45</v>
      </c>
      <c r="Q85" s="31">
        <v>37</v>
      </c>
      <c r="R85" s="31">
        <v>44</v>
      </c>
      <c r="S85" s="31">
        <v>26</v>
      </c>
      <c r="T85" s="31" t="s">
        <v>202</v>
      </c>
      <c r="U85" s="31">
        <v>97</v>
      </c>
      <c r="V85" s="31">
        <v>44</v>
      </c>
      <c r="W85" s="31">
        <v>40</v>
      </c>
      <c r="X85" s="31">
        <v>100</v>
      </c>
      <c r="Y85" s="31" t="s">
        <v>202</v>
      </c>
    </row>
    <row r="86" spans="1:25" x14ac:dyDescent="0.4">
      <c r="A86" s="32">
        <f>IF(B86&lt;&gt;"",COUNTA($B$35:B86),"")</f>
        <v>52</v>
      </c>
      <c r="B86" s="13" t="s">
        <v>148</v>
      </c>
      <c r="C86" s="13" t="s">
        <v>149</v>
      </c>
      <c r="D86" s="33">
        <f t="shared" si="30"/>
        <v>66.444444444444443</v>
      </c>
      <c r="E86" s="32" t="str">
        <f t="shared" si="33"/>
        <v>FAIL</v>
      </c>
      <c r="F86" s="32" t="str">
        <f t="shared" si="31"/>
        <v>FAIL</v>
      </c>
      <c r="G86" s="34" t="str">
        <f t="shared" si="29"/>
        <v>FC</v>
      </c>
      <c r="H86" s="31">
        <v>36</v>
      </c>
      <c r="I86" s="31">
        <v>12</v>
      </c>
      <c r="J86" s="31">
        <v>40</v>
      </c>
      <c r="K86" s="31">
        <v>19</v>
      </c>
      <c r="L86" s="31">
        <v>25</v>
      </c>
      <c r="M86" s="31">
        <v>18</v>
      </c>
      <c r="N86" s="31">
        <v>30</v>
      </c>
      <c r="O86" s="31">
        <v>15</v>
      </c>
      <c r="P86" s="31">
        <v>42</v>
      </c>
      <c r="Q86" s="31">
        <v>35</v>
      </c>
      <c r="R86" s="31">
        <v>45</v>
      </c>
      <c r="S86" s="31">
        <v>14</v>
      </c>
      <c r="T86" s="31" t="s">
        <v>202</v>
      </c>
      <c r="U86" s="31">
        <v>97</v>
      </c>
      <c r="V86" s="31">
        <v>38</v>
      </c>
      <c r="W86" s="31">
        <v>32</v>
      </c>
      <c r="X86" s="31">
        <v>100</v>
      </c>
      <c r="Y86" s="31" t="s">
        <v>202</v>
      </c>
    </row>
    <row r="87" spans="1:25" x14ac:dyDescent="0.4">
      <c r="A87" s="32">
        <f>IF(B87&lt;&gt;"",COUNTA($B$35:B87),"")</f>
        <v>53</v>
      </c>
      <c r="B87" s="13" t="s">
        <v>150</v>
      </c>
      <c r="C87" s="13" t="s">
        <v>151</v>
      </c>
      <c r="D87" s="33">
        <f t="shared" si="30"/>
        <v>81.444444444444443</v>
      </c>
      <c r="E87" s="32" t="str">
        <f t="shared" si="33"/>
        <v>PASS</v>
      </c>
      <c r="F87" s="32" t="str">
        <f t="shared" si="31"/>
        <v>FCD</v>
      </c>
      <c r="G87" s="34" t="str">
        <f t="shared" si="29"/>
        <v>FCD</v>
      </c>
      <c r="H87" s="31">
        <v>42</v>
      </c>
      <c r="I87" s="31">
        <v>35</v>
      </c>
      <c r="J87" s="31">
        <v>46</v>
      </c>
      <c r="K87" s="31">
        <v>35</v>
      </c>
      <c r="L87" s="31">
        <v>38</v>
      </c>
      <c r="M87" s="31">
        <v>31</v>
      </c>
      <c r="N87" s="31">
        <v>40</v>
      </c>
      <c r="O87" s="31">
        <v>18</v>
      </c>
      <c r="P87" s="31">
        <v>42</v>
      </c>
      <c r="Q87" s="31">
        <v>41</v>
      </c>
      <c r="R87" s="31">
        <v>47</v>
      </c>
      <c r="S87" s="31">
        <v>31</v>
      </c>
      <c r="T87" s="31" t="s">
        <v>202</v>
      </c>
      <c r="U87" s="31">
        <v>97</v>
      </c>
      <c r="V87" s="31">
        <v>43</v>
      </c>
      <c r="W87" s="31">
        <v>47</v>
      </c>
      <c r="X87" s="31">
        <v>100</v>
      </c>
      <c r="Y87" s="31" t="s">
        <v>202</v>
      </c>
    </row>
    <row r="88" spans="1:25" x14ac:dyDescent="0.4">
      <c r="A88" s="32">
        <f>IF(B88&lt;&gt;"",COUNTA($B$35:B88),"")</f>
        <v>54</v>
      </c>
      <c r="B88" s="13" t="s">
        <v>152</v>
      </c>
      <c r="C88" s="13" t="s">
        <v>153</v>
      </c>
      <c r="D88" s="33">
        <f t="shared" si="30"/>
        <v>72.777777777777771</v>
      </c>
      <c r="E88" s="32" t="str">
        <f t="shared" si="33"/>
        <v>FAIL</v>
      </c>
      <c r="F88" s="32" t="str">
        <f t="shared" si="31"/>
        <v>FAIL</v>
      </c>
      <c r="G88" s="34" t="str">
        <f t="shared" si="29"/>
        <v>FCD</v>
      </c>
      <c r="H88" s="31">
        <v>35</v>
      </c>
      <c r="I88" s="31">
        <v>12</v>
      </c>
      <c r="J88" s="31">
        <v>41</v>
      </c>
      <c r="K88" s="31">
        <v>23</v>
      </c>
      <c r="L88" s="31">
        <v>30</v>
      </c>
      <c r="M88" s="31">
        <v>26</v>
      </c>
      <c r="N88" s="31">
        <v>36</v>
      </c>
      <c r="O88" s="31">
        <v>18</v>
      </c>
      <c r="P88" s="31">
        <v>44</v>
      </c>
      <c r="Q88" s="31">
        <v>37</v>
      </c>
      <c r="R88" s="31">
        <v>48</v>
      </c>
      <c r="S88" s="31">
        <v>18</v>
      </c>
      <c r="T88" s="31" t="s">
        <v>202</v>
      </c>
      <c r="U88" s="31">
        <v>96</v>
      </c>
      <c r="V88" s="31">
        <v>45</v>
      </c>
      <c r="W88" s="31">
        <v>46</v>
      </c>
      <c r="X88" s="31">
        <v>100</v>
      </c>
      <c r="Y88" s="31" t="s">
        <v>202</v>
      </c>
    </row>
    <row r="89" spans="1:25" x14ac:dyDescent="0.4">
      <c r="A89" s="32">
        <f>IF(B89&lt;&gt;"",COUNTA($B$35:B89),"")</f>
        <v>55</v>
      </c>
      <c r="B89" s="13" t="s">
        <v>154</v>
      </c>
      <c r="C89" s="13" t="s">
        <v>155</v>
      </c>
      <c r="D89" s="33">
        <f t="shared" si="30"/>
        <v>61.111111111111114</v>
      </c>
      <c r="E89" s="32" t="str">
        <f t="shared" si="33"/>
        <v>FAIL</v>
      </c>
      <c r="F89" s="32" t="str">
        <f t="shared" si="31"/>
        <v>FAIL</v>
      </c>
      <c r="G89" s="34" t="str">
        <f t="shared" si="29"/>
        <v>FC</v>
      </c>
      <c r="H89" s="31">
        <v>31</v>
      </c>
      <c r="I89" s="31">
        <v>18</v>
      </c>
      <c r="J89" s="31">
        <v>34</v>
      </c>
      <c r="K89" s="31">
        <v>25</v>
      </c>
      <c r="L89" s="31">
        <v>20</v>
      </c>
      <c r="M89" s="31">
        <v>20</v>
      </c>
      <c r="N89" s="31">
        <v>24</v>
      </c>
      <c r="O89" s="31">
        <v>15</v>
      </c>
      <c r="P89" s="31">
        <v>35</v>
      </c>
      <c r="Q89" s="31">
        <v>6</v>
      </c>
      <c r="R89" s="31">
        <v>40</v>
      </c>
      <c r="S89" s="31">
        <v>26</v>
      </c>
      <c r="T89" s="31" t="s">
        <v>202</v>
      </c>
      <c r="U89" s="31">
        <v>97</v>
      </c>
      <c r="V89" s="31">
        <v>34</v>
      </c>
      <c r="W89" s="31">
        <v>25</v>
      </c>
      <c r="X89" s="31">
        <v>100</v>
      </c>
      <c r="Y89" s="31" t="s">
        <v>202</v>
      </c>
    </row>
    <row r="90" spans="1:25" x14ac:dyDescent="0.4">
      <c r="A90" s="32">
        <f>IF(B90&lt;&gt;"",COUNTA($B$35:B90),"")</f>
        <v>56</v>
      </c>
      <c r="B90" s="13" t="s">
        <v>156</v>
      </c>
      <c r="C90" s="13" t="s">
        <v>157</v>
      </c>
      <c r="D90" s="33">
        <f t="shared" si="30"/>
        <v>52.555555555555557</v>
      </c>
      <c r="E90" s="32" t="str">
        <f t="shared" si="33"/>
        <v>FAIL</v>
      </c>
      <c r="F90" s="32" t="str">
        <f t="shared" si="31"/>
        <v>FAIL</v>
      </c>
      <c r="G90" s="34" t="str">
        <f t="shared" si="29"/>
        <v>SC</v>
      </c>
      <c r="H90" s="31">
        <v>27</v>
      </c>
      <c r="I90" s="31">
        <v>3</v>
      </c>
      <c r="J90" s="31">
        <v>25</v>
      </c>
      <c r="K90" s="31">
        <v>7</v>
      </c>
      <c r="L90" s="31">
        <v>23</v>
      </c>
      <c r="M90" s="31">
        <v>11</v>
      </c>
      <c r="N90" s="31">
        <v>22</v>
      </c>
      <c r="O90" s="31">
        <v>11</v>
      </c>
      <c r="P90" s="31">
        <v>35</v>
      </c>
      <c r="Q90" s="31">
        <v>6</v>
      </c>
      <c r="R90" s="31">
        <v>28</v>
      </c>
      <c r="S90" s="31">
        <v>12</v>
      </c>
      <c r="T90" s="31" t="s">
        <v>202</v>
      </c>
      <c r="U90" s="31">
        <v>96</v>
      </c>
      <c r="V90" s="31">
        <v>37</v>
      </c>
      <c r="W90" s="31">
        <v>30</v>
      </c>
      <c r="X90" s="31">
        <v>100</v>
      </c>
      <c r="Y90" s="31" t="s">
        <v>202</v>
      </c>
    </row>
    <row r="91" spans="1:25" x14ac:dyDescent="0.4">
      <c r="A91" s="32">
        <f>IF(B91&lt;&gt;"",COUNTA($B$35:B91),"")</f>
        <v>57</v>
      </c>
      <c r="B91" s="13" t="s">
        <v>158</v>
      </c>
      <c r="C91" s="13" t="s">
        <v>159</v>
      </c>
      <c r="D91" s="33">
        <f t="shared" si="30"/>
        <v>75.666666666666671</v>
      </c>
      <c r="E91" s="32" t="str">
        <f t="shared" si="33"/>
        <v>PASS</v>
      </c>
      <c r="F91" s="32" t="str">
        <f t="shared" si="31"/>
        <v>FCD</v>
      </c>
      <c r="G91" s="34" t="str">
        <f t="shared" si="29"/>
        <v>FCD</v>
      </c>
      <c r="H91" s="31">
        <v>39</v>
      </c>
      <c r="I91" s="31">
        <v>29</v>
      </c>
      <c r="J91" s="31">
        <v>43</v>
      </c>
      <c r="K91" s="31">
        <v>18</v>
      </c>
      <c r="L91" s="31">
        <v>35</v>
      </c>
      <c r="M91" s="31">
        <v>33</v>
      </c>
      <c r="N91" s="31">
        <v>32</v>
      </c>
      <c r="O91" s="31">
        <v>18</v>
      </c>
      <c r="P91" s="31">
        <v>35</v>
      </c>
      <c r="Q91" s="31">
        <v>40</v>
      </c>
      <c r="R91" s="31">
        <v>44</v>
      </c>
      <c r="S91" s="31">
        <v>30</v>
      </c>
      <c r="T91" s="31" t="s">
        <v>202</v>
      </c>
      <c r="U91" s="31">
        <v>97</v>
      </c>
      <c r="V91" s="31">
        <v>42</v>
      </c>
      <c r="W91" s="31">
        <v>46</v>
      </c>
      <c r="X91" s="31">
        <v>100</v>
      </c>
      <c r="Y91" s="31" t="s">
        <v>202</v>
      </c>
    </row>
    <row r="92" spans="1:25" x14ac:dyDescent="0.4">
      <c r="A92" s="32">
        <f>IF(B92&lt;&gt;"",COUNTA($B$35:B92),"")</f>
        <v>58</v>
      </c>
      <c r="B92" s="13" t="s">
        <v>160</v>
      </c>
      <c r="C92" s="13" t="s">
        <v>161</v>
      </c>
      <c r="D92" s="33">
        <f t="shared" si="30"/>
        <v>60.222222222222221</v>
      </c>
      <c r="E92" s="32" t="str">
        <f t="shared" si="33"/>
        <v>FAIL</v>
      </c>
      <c r="F92" s="32" t="str">
        <f t="shared" si="31"/>
        <v>FAIL</v>
      </c>
      <c r="G92" s="34" t="str">
        <f t="shared" si="29"/>
        <v>FC</v>
      </c>
      <c r="H92" s="31">
        <v>35</v>
      </c>
      <c r="I92" s="31">
        <v>5</v>
      </c>
      <c r="J92" s="31">
        <v>35</v>
      </c>
      <c r="K92" s="31">
        <v>18</v>
      </c>
      <c r="L92" s="31">
        <v>23</v>
      </c>
      <c r="M92" s="31">
        <v>6</v>
      </c>
      <c r="N92" s="31">
        <v>29</v>
      </c>
      <c r="O92" s="31">
        <v>11</v>
      </c>
      <c r="P92" s="31">
        <v>45</v>
      </c>
      <c r="Q92" s="31">
        <v>24</v>
      </c>
      <c r="R92" s="31">
        <v>36</v>
      </c>
      <c r="S92" s="31">
        <v>18</v>
      </c>
      <c r="T92" s="31" t="s">
        <v>202</v>
      </c>
      <c r="U92" s="31">
        <v>97</v>
      </c>
      <c r="V92" s="31">
        <v>37</v>
      </c>
      <c r="W92" s="31">
        <v>23</v>
      </c>
      <c r="X92" s="31">
        <v>100</v>
      </c>
      <c r="Y92" s="31" t="s">
        <v>202</v>
      </c>
    </row>
    <row r="93" spans="1:25" x14ac:dyDescent="0.4">
      <c r="A93" s="57">
        <f>IF(B93&lt;&gt;"",COUNTA($B$35:B93),"")</f>
        <v>59</v>
      </c>
      <c r="B93" s="58" t="s">
        <v>162</v>
      </c>
      <c r="C93" s="58" t="s">
        <v>163</v>
      </c>
      <c r="D93" s="59">
        <f t="shared" si="30"/>
        <v>58.777777777777771</v>
      </c>
      <c r="E93" s="57" t="str">
        <f t="shared" si="33"/>
        <v>FAIL</v>
      </c>
      <c r="F93" s="57" t="str">
        <f t="shared" si="31"/>
        <v>FAIL</v>
      </c>
      <c r="G93" s="60" t="str">
        <f t="shared" si="29"/>
        <v>SC</v>
      </c>
      <c r="H93" s="61">
        <v>28</v>
      </c>
      <c r="I93" s="61">
        <v>3</v>
      </c>
      <c r="J93" s="61">
        <v>35</v>
      </c>
      <c r="K93" s="61">
        <v>18</v>
      </c>
      <c r="L93" s="61">
        <v>20</v>
      </c>
      <c r="M93" s="61">
        <v>20</v>
      </c>
      <c r="N93" s="61">
        <v>23</v>
      </c>
      <c r="O93" s="61">
        <v>18</v>
      </c>
      <c r="P93" s="61">
        <v>37</v>
      </c>
      <c r="Q93" s="61">
        <v>22</v>
      </c>
      <c r="R93" s="61">
        <v>35</v>
      </c>
      <c r="S93" s="61">
        <v>12</v>
      </c>
      <c r="T93" s="61" t="s">
        <v>202</v>
      </c>
      <c r="U93" s="61">
        <v>96</v>
      </c>
      <c r="V93" s="61">
        <v>37</v>
      </c>
      <c r="W93" s="61">
        <v>25</v>
      </c>
      <c r="X93" s="61">
        <v>100</v>
      </c>
      <c r="Y93" s="61" t="s">
        <v>202</v>
      </c>
    </row>
    <row r="94" spans="1:25" x14ac:dyDescent="0.4">
      <c r="A94" s="32">
        <f>IF(B94&lt;&gt;"",COUNTA($B$35:B94),"")</f>
        <v>60</v>
      </c>
      <c r="B94" s="13" t="s">
        <v>164</v>
      </c>
      <c r="C94" s="13" t="s">
        <v>165</v>
      </c>
      <c r="D94" s="33">
        <f t="shared" si="30"/>
        <v>72.111111111111114</v>
      </c>
      <c r="E94" s="32" t="str">
        <f t="shared" si="33"/>
        <v>FAIL</v>
      </c>
      <c r="F94" s="32" t="str">
        <f t="shared" si="31"/>
        <v>FAIL</v>
      </c>
      <c r="G94" s="34" t="str">
        <f t="shared" si="29"/>
        <v>FCD</v>
      </c>
      <c r="H94" s="31">
        <v>35</v>
      </c>
      <c r="I94" s="31">
        <v>8</v>
      </c>
      <c r="J94" s="31">
        <v>44</v>
      </c>
      <c r="K94" s="31">
        <v>24</v>
      </c>
      <c r="L94" s="31">
        <v>33</v>
      </c>
      <c r="M94" s="31">
        <v>29</v>
      </c>
      <c r="N94" s="31">
        <v>32</v>
      </c>
      <c r="O94" s="31">
        <v>6</v>
      </c>
      <c r="P94" s="31">
        <v>49</v>
      </c>
      <c r="Q94" s="31">
        <v>32</v>
      </c>
      <c r="R94" s="31">
        <v>48</v>
      </c>
      <c r="S94" s="31">
        <v>25</v>
      </c>
      <c r="T94" s="31" t="s">
        <v>202</v>
      </c>
      <c r="U94" s="31">
        <v>97</v>
      </c>
      <c r="V94" s="31">
        <v>42</v>
      </c>
      <c r="W94" s="31">
        <v>45</v>
      </c>
      <c r="X94" s="31">
        <v>100</v>
      </c>
      <c r="Y94" s="31" t="s">
        <v>202</v>
      </c>
    </row>
    <row r="95" spans="1:25" x14ac:dyDescent="0.4">
      <c r="A95" s="32">
        <f>IF(B95&lt;&gt;"",COUNTA($B$35:B95),"")</f>
        <v>61</v>
      </c>
      <c r="B95" s="13" t="s">
        <v>166</v>
      </c>
      <c r="C95" s="13" t="s">
        <v>167</v>
      </c>
      <c r="D95" s="33">
        <f t="shared" si="30"/>
        <v>78</v>
      </c>
      <c r="E95" s="32" t="str">
        <f t="shared" si="33"/>
        <v>PASS</v>
      </c>
      <c r="F95" s="32" t="str">
        <f t="shared" si="31"/>
        <v>FCD</v>
      </c>
      <c r="G95" s="34" t="str">
        <f t="shared" si="29"/>
        <v>FCD</v>
      </c>
      <c r="H95" s="31">
        <v>40</v>
      </c>
      <c r="I95" s="31">
        <v>18</v>
      </c>
      <c r="J95" s="31">
        <v>46</v>
      </c>
      <c r="K95" s="31">
        <v>33</v>
      </c>
      <c r="L95" s="31">
        <v>40</v>
      </c>
      <c r="M95" s="31">
        <v>18</v>
      </c>
      <c r="N95" s="31">
        <v>36</v>
      </c>
      <c r="O95" s="31">
        <v>19</v>
      </c>
      <c r="P95" s="31">
        <v>47</v>
      </c>
      <c r="Q95" s="31">
        <v>47</v>
      </c>
      <c r="R95" s="31">
        <v>46</v>
      </c>
      <c r="S95" s="31">
        <v>21</v>
      </c>
      <c r="T95" s="31" t="s">
        <v>202</v>
      </c>
      <c r="U95" s="31">
        <v>98</v>
      </c>
      <c r="V95" s="31">
        <v>44</v>
      </c>
      <c r="W95" s="31">
        <v>49</v>
      </c>
      <c r="X95" s="31" t="s">
        <v>202</v>
      </c>
      <c r="Y95" s="31">
        <v>100</v>
      </c>
    </row>
    <row r="96" spans="1:25" x14ac:dyDescent="0.4">
      <c r="A96" s="32">
        <f>IF(B96&lt;&gt;"",COUNTA($B$35:B96),"")</f>
        <v>62</v>
      </c>
      <c r="B96" s="13" t="s">
        <v>168</v>
      </c>
      <c r="C96" s="13" t="s">
        <v>169</v>
      </c>
      <c r="D96" s="33">
        <f t="shared" si="30"/>
        <v>76.555555555555557</v>
      </c>
      <c r="E96" s="32" t="str">
        <f t="shared" si="33"/>
        <v>PASS</v>
      </c>
      <c r="F96" s="32" t="str">
        <f t="shared" si="31"/>
        <v>FCD</v>
      </c>
      <c r="G96" s="34" t="str">
        <f t="shared" si="29"/>
        <v>FCD</v>
      </c>
      <c r="H96" s="31">
        <v>37</v>
      </c>
      <c r="I96" s="31">
        <v>26</v>
      </c>
      <c r="J96" s="31">
        <v>48</v>
      </c>
      <c r="K96" s="31">
        <v>24</v>
      </c>
      <c r="L96" s="31">
        <v>34</v>
      </c>
      <c r="M96" s="31">
        <v>26</v>
      </c>
      <c r="N96" s="31">
        <v>34</v>
      </c>
      <c r="O96" s="31">
        <v>18</v>
      </c>
      <c r="P96" s="31">
        <v>49</v>
      </c>
      <c r="Q96" s="31">
        <v>40</v>
      </c>
      <c r="R96" s="31">
        <v>48</v>
      </c>
      <c r="S96" s="31">
        <v>18</v>
      </c>
      <c r="T96" s="31" t="s">
        <v>202</v>
      </c>
      <c r="U96" s="31">
        <v>97</v>
      </c>
      <c r="V96" s="31">
        <v>43</v>
      </c>
      <c r="W96" s="31">
        <v>47</v>
      </c>
      <c r="X96" s="31">
        <v>100</v>
      </c>
      <c r="Y96" s="31" t="s">
        <v>202</v>
      </c>
    </row>
    <row r="97" spans="1:26" x14ac:dyDescent="0.4">
      <c r="A97" s="32">
        <f>IF(B97&lt;&gt;"",COUNTA($B$35:B97),"")</f>
        <v>63</v>
      </c>
      <c r="B97" s="13" t="s">
        <v>170</v>
      </c>
      <c r="C97" s="13" t="s">
        <v>171</v>
      </c>
      <c r="D97" s="33">
        <f t="shared" si="30"/>
        <v>70.777777777777771</v>
      </c>
      <c r="E97" s="32" t="str">
        <f t="shared" si="33"/>
        <v>FAIL</v>
      </c>
      <c r="F97" s="32" t="str">
        <f t="shared" si="31"/>
        <v>FAIL</v>
      </c>
      <c r="G97" s="34" t="str">
        <f t="shared" si="29"/>
        <v>FCD</v>
      </c>
      <c r="H97" s="31">
        <v>31</v>
      </c>
      <c r="I97" s="31">
        <v>18</v>
      </c>
      <c r="J97" s="31">
        <v>44</v>
      </c>
      <c r="K97" s="31">
        <v>25</v>
      </c>
      <c r="L97" s="31">
        <v>34</v>
      </c>
      <c r="M97" s="31">
        <v>18</v>
      </c>
      <c r="N97" s="31">
        <v>33</v>
      </c>
      <c r="O97" s="31">
        <v>3</v>
      </c>
      <c r="P97" s="31">
        <v>42</v>
      </c>
      <c r="Q97" s="31">
        <v>40</v>
      </c>
      <c r="R97" s="31">
        <v>46</v>
      </c>
      <c r="S97" s="31">
        <v>22</v>
      </c>
      <c r="T97" s="31" t="s">
        <v>202</v>
      </c>
      <c r="U97" s="31">
        <v>97</v>
      </c>
      <c r="V97" s="31">
        <v>42</v>
      </c>
      <c r="W97" s="31">
        <v>42</v>
      </c>
      <c r="X97" s="31">
        <v>100</v>
      </c>
      <c r="Y97" s="31" t="s">
        <v>202</v>
      </c>
      <c r="Z97" s="64"/>
    </row>
    <row r="98" spans="1:26" s="64" customFormat="1" x14ac:dyDescent="0.4">
      <c r="A98" s="46" t="str">
        <f>IF(B98&lt;&gt;"",COUNTA($B$35:B98),"")</f>
        <v/>
      </c>
      <c r="B98" s="30"/>
      <c r="C98" s="30"/>
      <c r="D98" s="62" t="str">
        <f t="shared" ref="D98:D129" si="34">IF(C98="","",(SUM(H98:W98)/D$31)*100)</f>
        <v/>
      </c>
      <c r="E98" s="46" t="str">
        <f t="shared" si="33"/>
        <v/>
      </c>
      <c r="F98" s="46" t="str">
        <f t="shared" si="31"/>
        <v/>
      </c>
      <c r="G98" s="63" t="str">
        <f t="shared" si="29"/>
        <v/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6" s="64" customFormat="1" x14ac:dyDescent="0.4">
      <c r="A99" s="46" t="str">
        <f>IF(B99&lt;&gt;"",COUNTA($B$35:B99),"")</f>
        <v/>
      </c>
      <c r="B99" s="30"/>
      <c r="C99" s="30"/>
      <c r="D99" s="62" t="str">
        <f t="shared" si="34"/>
        <v/>
      </c>
      <c r="E99" s="46" t="str">
        <f t="shared" si="33"/>
        <v/>
      </c>
      <c r="F99" s="46" t="str">
        <f t="shared" si="31"/>
        <v/>
      </c>
      <c r="G99" s="63" t="str">
        <f t="shared" ref="G99:G162" si="35">IF(D99 = "", "", IF(D99 &gt;= 70, "FCD", IF(D99 &gt;= 60, "FC", IF(D99 &gt;= 35, "SC", ""))))</f>
        <v/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6" s="64" customFormat="1" x14ac:dyDescent="0.4">
      <c r="A100" s="46" t="str">
        <f>IF(B100&lt;&gt;"",COUNTA($B$35:B100),"")</f>
        <v/>
      </c>
      <c r="B100" s="30"/>
      <c r="C100" s="30"/>
      <c r="D100" s="62" t="str">
        <f t="shared" si="34"/>
        <v/>
      </c>
      <c r="E100" s="46" t="str">
        <f t="shared" si="33"/>
        <v/>
      </c>
      <c r="F100" s="46" t="str">
        <f t="shared" si="31"/>
        <v/>
      </c>
      <c r="G100" s="63" t="str">
        <f t="shared" si="35"/>
        <v/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6" s="64" customFormat="1" x14ac:dyDescent="0.4">
      <c r="A101" s="46" t="str">
        <f>IF(B101&lt;&gt;"",COUNTA($B$35:B101),"")</f>
        <v/>
      </c>
      <c r="B101" s="30"/>
      <c r="C101" s="30"/>
      <c r="D101" s="62" t="str">
        <f t="shared" si="34"/>
        <v/>
      </c>
      <c r="E101" s="46" t="str">
        <f t="shared" si="33"/>
        <v/>
      </c>
      <c r="F101" s="46" t="str">
        <f t="shared" ref="F101:F164" si="36">IF(E101="Pass",G101, IF(E101="FAIL","FAIL",""))</f>
        <v/>
      </c>
      <c r="G101" s="63" t="str">
        <f t="shared" si="35"/>
        <v/>
      </c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6" s="64" customFormat="1" x14ac:dyDescent="0.4">
      <c r="A102" s="46" t="str">
        <f>IF(B102&lt;&gt;"",COUNTA($B$35:B102),"")</f>
        <v/>
      </c>
      <c r="B102" s="30"/>
      <c r="C102" s="30"/>
      <c r="D102" s="62" t="str">
        <f t="shared" si="34"/>
        <v/>
      </c>
      <c r="E102" s="46" t="str">
        <f t="shared" si="33"/>
        <v/>
      </c>
      <c r="F102" s="46" t="str">
        <f t="shared" si="36"/>
        <v/>
      </c>
      <c r="G102" s="63" t="str">
        <f t="shared" si="35"/>
        <v/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6" s="64" customFormat="1" x14ac:dyDescent="0.4">
      <c r="A103" s="46" t="str">
        <f>IF(B103&lt;&gt;"",COUNTA($B$35:B103),"")</f>
        <v/>
      </c>
      <c r="B103" s="30"/>
      <c r="C103" s="30"/>
      <c r="D103" s="62" t="str">
        <f t="shared" si="34"/>
        <v/>
      </c>
      <c r="E103" s="46" t="str">
        <f t="shared" si="33"/>
        <v/>
      </c>
      <c r="F103" s="46" t="str">
        <f t="shared" si="36"/>
        <v/>
      </c>
      <c r="G103" s="63" t="str">
        <f t="shared" si="35"/>
        <v/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6" s="64" customFormat="1" x14ac:dyDescent="0.4">
      <c r="A104" s="46" t="str">
        <f>IF(B104&lt;&gt;"",COUNTA($B$35:B104),"")</f>
        <v/>
      </c>
      <c r="B104" s="30"/>
      <c r="C104" s="30"/>
      <c r="D104" s="62" t="str">
        <f t="shared" si="34"/>
        <v/>
      </c>
      <c r="E104" s="46" t="str">
        <f t="shared" si="33"/>
        <v/>
      </c>
      <c r="F104" s="46" t="str">
        <f t="shared" si="36"/>
        <v/>
      </c>
      <c r="G104" s="63" t="str">
        <f t="shared" si="35"/>
        <v/>
      </c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6" s="64" customFormat="1" x14ac:dyDescent="0.4">
      <c r="A105" s="46" t="str">
        <f>IF(B105&lt;&gt;"",COUNTA($B$35:B105),"")</f>
        <v/>
      </c>
      <c r="B105" s="30"/>
      <c r="C105" s="30"/>
      <c r="D105" s="62" t="str">
        <f t="shared" si="34"/>
        <v/>
      </c>
      <c r="E105" s="46" t="str">
        <f t="shared" ref="E105:E136" si="37">IF(ISBLANK(B105),"",IF(OR(I105&lt;18,K105&lt;18,M105&lt;18,O105&lt;18,Q105&lt;18,S105&lt;18,U105&lt;18,W105&lt;18),"FAIL","PASS"))</f>
        <v/>
      </c>
      <c r="F105" s="46" t="str">
        <f t="shared" si="36"/>
        <v/>
      </c>
      <c r="G105" s="63" t="str">
        <f t="shared" si="35"/>
        <v/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6" s="64" customFormat="1" x14ac:dyDescent="0.4">
      <c r="A106" s="46" t="str">
        <f>IF(B106&lt;&gt;"",COUNTA($B$35:B106),"")</f>
        <v/>
      </c>
      <c r="B106" s="30"/>
      <c r="C106" s="30"/>
      <c r="D106" s="62" t="str">
        <f t="shared" si="34"/>
        <v/>
      </c>
      <c r="E106" s="46" t="str">
        <f t="shared" si="37"/>
        <v/>
      </c>
      <c r="F106" s="46" t="str">
        <f t="shared" si="36"/>
        <v/>
      </c>
      <c r="G106" s="63" t="str">
        <f t="shared" si="35"/>
        <v/>
      </c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6" s="64" customFormat="1" x14ac:dyDescent="0.4">
      <c r="A107" s="46" t="str">
        <f>IF(B107&lt;&gt;"",COUNTA($B$35:B107),"")</f>
        <v/>
      </c>
      <c r="B107" s="30"/>
      <c r="C107" s="30"/>
      <c r="D107" s="62" t="str">
        <f t="shared" si="34"/>
        <v/>
      </c>
      <c r="E107" s="46" t="str">
        <f t="shared" si="37"/>
        <v/>
      </c>
      <c r="F107" s="46" t="str">
        <f t="shared" si="36"/>
        <v/>
      </c>
      <c r="G107" s="63" t="str">
        <f t="shared" si="35"/>
        <v/>
      </c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6" s="64" customFormat="1" x14ac:dyDescent="0.4">
      <c r="A108" s="46" t="str">
        <f>IF(B108&lt;&gt;"",COUNTA($B$35:B108),"")</f>
        <v/>
      </c>
      <c r="B108" s="30"/>
      <c r="C108" s="30"/>
      <c r="D108" s="62" t="str">
        <f t="shared" si="34"/>
        <v/>
      </c>
      <c r="E108" s="46" t="str">
        <f t="shared" si="37"/>
        <v/>
      </c>
      <c r="F108" s="46" t="str">
        <f t="shared" si="36"/>
        <v/>
      </c>
      <c r="G108" s="63" t="str">
        <f t="shared" si="35"/>
        <v/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6" s="64" customFormat="1" x14ac:dyDescent="0.4">
      <c r="A109" s="46" t="str">
        <f>IF(B109&lt;&gt;"",COUNTA($B$35:B109),"")</f>
        <v/>
      </c>
      <c r="B109" s="30"/>
      <c r="C109" s="30"/>
      <c r="D109" s="62" t="str">
        <f t="shared" si="34"/>
        <v/>
      </c>
      <c r="E109" s="46" t="str">
        <f t="shared" si="37"/>
        <v/>
      </c>
      <c r="F109" s="46" t="str">
        <f t="shared" si="36"/>
        <v/>
      </c>
      <c r="G109" s="63" t="str">
        <f t="shared" si="35"/>
        <v/>
      </c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6" s="64" customFormat="1" x14ac:dyDescent="0.4">
      <c r="A110" s="46" t="str">
        <f>IF(B110&lt;&gt;"",COUNTA($B$35:B110),"")</f>
        <v/>
      </c>
      <c r="B110" s="30"/>
      <c r="C110" s="30"/>
      <c r="D110" s="62" t="str">
        <f t="shared" si="34"/>
        <v/>
      </c>
      <c r="E110" s="46" t="str">
        <f t="shared" si="37"/>
        <v/>
      </c>
      <c r="F110" s="46" t="str">
        <f t="shared" si="36"/>
        <v/>
      </c>
      <c r="G110" s="63" t="str">
        <f t="shared" si="35"/>
        <v/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6" s="64" customFormat="1" x14ac:dyDescent="0.4">
      <c r="A111" s="46" t="str">
        <f>IF(B111&lt;&gt;"",COUNTA($B$35:B111),"")</f>
        <v/>
      </c>
      <c r="B111" s="30"/>
      <c r="C111" s="30"/>
      <c r="D111" s="62" t="str">
        <f t="shared" si="34"/>
        <v/>
      </c>
      <c r="E111" s="46" t="str">
        <f t="shared" si="37"/>
        <v/>
      </c>
      <c r="F111" s="46" t="str">
        <f t="shared" si="36"/>
        <v/>
      </c>
      <c r="G111" s="63" t="str">
        <f t="shared" si="35"/>
        <v/>
      </c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6" s="64" customFormat="1" x14ac:dyDescent="0.4">
      <c r="A112" s="46" t="str">
        <f>IF(B112&lt;&gt;"",COUNTA($B$35:B112),"")</f>
        <v/>
      </c>
      <c r="B112" s="30"/>
      <c r="C112" s="30"/>
      <c r="D112" s="62" t="str">
        <f t="shared" si="34"/>
        <v/>
      </c>
      <c r="E112" s="46" t="str">
        <f t="shared" si="37"/>
        <v/>
      </c>
      <c r="F112" s="46" t="str">
        <f t="shared" si="36"/>
        <v/>
      </c>
      <c r="G112" s="63" t="str">
        <f t="shared" si="35"/>
        <v/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 s="64" customFormat="1" x14ac:dyDescent="0.4">
      <c r="A113" s="46" t="str">
        <f>IF(B113&lt;&gt;"",COUNTA($B$35:B113),"")</f>
        <v/>
      </c>
      <c r="B113" s="30"/>
      <c r="C113" s="30"/>
      <c r="D113" s="62" t="str">
        <f t="shared" si="34"/>
        <v/>
      </c>
      <c r="E113" s="46" t="str">
        <f t="shared" si="37"/>
        <v/>
      </c>
      <c r="F113" s="46" t="str">
        <f t="shared" si="36"/>
        <v/>
      </c>
      <c r="G113" s="63" t="str">
        <f t="shared" si="35"/>
        <v/>
      </c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 s="64" customFormat="1" x14ac:dyDescent="0.4">
      <c r="A114" s="46" t="str">
        <f>IF(B114&lt;&gt;"",COUNTA($B$35:B114),"")</f>
        <v/>
      </c>
      <c r="B114" s="30"/>
      <c r="C114" s="30"/>
      <c r="D114" s="62" t="str">
        <f t="shared" si="34"/>
        <v/>
      </c>
      <c r="E114" s="46" t="str">
        <f t="shared" si="37"/>
        <v/>
      </c>
      <c r="F114" s="46" t="str">
        <f t="shared" si="36"/>
        <v/>
      </c>
      <c r="G114" s="63" t="str">
        <f t="shared" si="35"/>
        <v/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 s="64" customFormat="1" x14ac:dyDescent="0.4">
      <c r="A115" s="46" t="str">
        <f>IF(B115&lt;&gt;"",COUNTA($B$35:B115),"")</f>
        <v/>
      </c>
      <c r="B115" s="30"/>
      <c r="C115" s="30"/>
      <c r="D115" s="62" t="str">
        <f t="shared" si="34"/>
        <v/>
      </c>
      <c r="E115" s="46" t="str">
        <f t="shared" si="37"/>
        <v/>
      </c>
      <c r="F115" s="46" t="str">
        <f t="shared" si="36"/>
        <v/>
      </c>
      <c r="G115" s="63" t="str">
        <f t="shared" si="35"/>
        <v/>
      </c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 s="64" customFormat="1" x14ac:dyDescent="0.4">
      <c r="A116" s="46" t="str">
        <f>IF(B116&lt;&gt;"",COUNTA($B$35:B116),"")</f>
        <v/>
      </c>
      <c r="B116" s="30"/>
      <c r="C116" s="30"/>
      <c r="D116" s="62" t="str">
        <f t="shared" si="34"/>
        <v/>
      </c>
      <c r="E116" s="46" t="str">
        <f t="shared" si="37"/>
        <v/>
      </c>
      <c r="F116" s="46" t="str">
        <f t="shared" si="36"/>
        <v/>
      </c>
      <c r="G116" s="63" t="str">
        <f t="shared" si="35"/>
        <v/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 s="64" customFormat="1" x14ac:dyDescent="0.4">
      <c r="A117" s="46" t="str">
        <f>IF(B117&lt;&gt;"",COUNTA($B$35:B117),"")</f>
        <v/>
      </c>
      <c r="B117" s="30"/>
      <c r="C117" s="30"/>
      <c r="D117" s="62" t="str">
        <f t="shared" si="34"/>
        <v/>
      </c>
      <c r="E117" s="46" t="str">
        <f t="shared" si="37"/>
        <v/>
      </c>
      <c r="F117" s="46" t="str">
        <f t="shared" si="36"/>
        <v/>
      </c>
      <c r="G117" s="63" t="str">
        <f t="shared" si="35"/>
        <v/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 s="64" customFormat="1" x14ac:dyDescent="0.4">
      <c r="A118" s="46" t="str">
        <f>IF(B118&lt;&gt;"",COUNTA($B$35:B118),"")</f>
        <v/>
      </c>
      <c r="B118" s="30"/>
      <c r="C118" s="30"/>
      <c r="D118" s="62" t="str">
        <f t="shared" si="34"/>
        <v/>
      </c>
      <c r="E118" s="46" t="str">
        <f t="shared" si="37"/>
        <v/>
      </c>
      <c r="F118" s="46" t="str">
        <f t="shared" si="36"/>
        <v/>
      </c>
      <c r="G118" s="63" t="str">
        <f t="shared" si="35"/>
        <v/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 s="64" customFormat="1" x14ac:dyDescent="0.4">
      <c r="A119" s="46" t="str">
        <f>IF(B119&lt;&gt;"",COUNTA($B$35:B119),"")</f>
        <v/>
      </c>
      <c r="B119" s="30"/>
      <c r="C119" s="30"/>
      <c r="D119" s="62" t="str">
        <f t="shared" si="34"/>
        <v/>
      </c>
      <c r="E119" s="46" t="str">
        <f t="shared" si="37"/>
        <v/>
      </c>
      <c r="F119" s="46" t="str">
        <f t="shared" si="36"/>
        <v/>
      </c>
      <c r="G119" s="63" t="str">
        <f t="shared" si="35"/>
        <v/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 s="64" customFormat="1" x14ac:dyDescent="0.4">
      <c r="A120" s="46" t="str">
        <f>IF(B120&lt;&gt;"",COUNTA($B$35:B120),"")</f>
        <v/>
      </c>
      <c r="B120" s="30"/>
      <c r="C120" s="30"/>
      <c r="D120" s="62" t="str">
        <f t="shared" si="34"/>
        <v/>
      </c>
      <c r="E120" s="46" t="str">
        <f t="shared" si="37"/>
        <v/>
      </c>
      <c r="F120" s="46" t="str">
        <f t="shared" si="36"/>
        <v/>
      </c>
      <c r="G120" s="63" t="str">
        <f t="shared" si="35"/>
        <v/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 s="64" customFormat="1" x14ac:dyDescent="0.4">
      <c r="A121" s="46" t="str">
        <f>IF(B121&lt;&gt;"",COUNTA($B$35:B121),"")</f>
        <v/>
      </c>
      <c r="B121" s="30"/>
      <c r="C121" s="30"/>
      <c r="D121" s="62" t="str">
        <f t="shared" si="34"/>
        <v/>
      </c>
      <c r="E121" s="46" t="str">
        <f t="shared" si="37"/>
        <v/>
      </c>
      <c r="F121" s="46" t="str">
        <f t="shared" si="36"/>
        <v/>
      </c>
      <c r="G121" s="63" t="str">
        <f t="shared" si="35"/>
        <v/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 s="64" customFormat="1" x14ac:dyDescent="0.4">
      <c r="A122" s="46" t="str">
        <f>IF(B122&lt;&gt;"",COUNTA($B$35:B122),"")</f>
        <v/>
      </c>
      <c r="B122" s="30"/>
      <c r="C122" s="30"/>
      <c r="D122" s="62" t="str">
        <f t="shared" si="34"/>
        <v/>
      </c>
      <c r="E122" s="46" t="str">
        <f t="shared" si="37"/>
        <v/>
      </c>
      <c r="F122" s="46" t="str">
        <f t="shared" si="36"/>
        <v/>
      </c>
      <c r="G122" s="63" t="str">
        <f t="shared" si="35"/>
        <v/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 s="64" customFormat="1" x14ac:dyDescent="0.4">
      <c r="A123" s="46" t="str">
        <f>IF(B123&lt;&gt;"",COUNTA($B$35:B123),"")</f>
        <v/>
      </c>
      <c r="B123" s="30"/>
      <c r="C123" s="30"/>
      <c r="D123" s="62" t="str">
        <f t="shared" si="34"/>
        <v/>
      </c>
      <c r="E123" s="46" t="str">
        <f t="shared" si="37"/>
        <v/>
      </c>
      <c r="F123" s="46" t="str">
        <f t="shared" si="36"/>
        <v/>
      </c>
      <c r="G123" s="63" t="str">
        <f t="shared" si="35"/>
        <v/>
      </c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 s="64" customFormat="1" x14ac:dyDescent="0.4">
      <c r="A124" s="46" t="str">
        <f>IF(B124&lt;&gt;"",COUNTA($B$35:B124),"")</f>
        <v/>
      </c>
      <c r="B124" s="30"/>
      <c r="C124" s="30"/>
      <c r="D124" s="62" t="str">
        <f t="shared" si="34"/>
        <v/>
      </c>
      <c r="E124" s="46" t="str">
        <f t="shared" si="37"/>
        <v/>
      </c>
      <c r="F124" s="46" t="str">
        <f t="shared" si="36"/>
        <v/>
      </c>
      <c r="G124" s="63" t="str">
        <f t="shared" si="35"/>
        <v/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 s="64" customFormat="1" x14ac:dyDescent="0.4">
      <c r="A125" s="46" t="str">
        <f>IF(B125&lt;&gt;"",COUNTA($B$35:B125),"")</f>
        <v/>
      </c>
      <c r="B125" s="30"/>
      <c r="C125" s="30"/>
      <c r="D125" s="62" t="str">
        <f t="shared" si="34"/>
        <v/>
      </c>
      <c r="E125" s="46" t="str">
        <f t="shared" si="37"/>
        <v/>
      </c>
      <c r="F125" s="46" t="str">
        <f t="shared" si="36"/>
        <v/>
      </c>
      <c r="G125" s="63" t="str">
        <f t="shared" si="35"/>
        <v/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 s="64" customFormat="1" x14ac:dyDescent="0.4">
      <c r="A126" s="46" t="str">
        <f>IF(B126&lt;&gt;"",COUNTA($B$35:B126),"")</f>
        <v/>
      </c>
      <c r="B126" s="30"/>
      <c r="C126" s="30"/>
      <c r="D126" s="62" t="str">
        <f t="shared" si="34"/>
        <v/>
      </c>
      <c r="E126" s="46" t="str">
        <f t="shared" si="37"/>
        <v/>
      </c>
      <c r="F126" s="46" t="str">
        <f t="shared" si="36"/>
        <v/>
      </c>
      <c r="G126" s="63" t="str">
        <f t="shared" si="35"/>
        <v/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 s="64" customFormat="1" x14ac:dyDescent="0.4">
      <c r="A127" s="46" t="str">
        <f>IF(B127&lt;&gt;"",COUNTA($B$35:B127),"")</f>
        <v/>
      </c>
      <c r="B127" s="30"/>
      <c r="C127" s="30"/>
      <c r="D127" s="62" t="str">
        <f t="shared" si="34"/>
        <v/>
      </c>
      <c r="E127" s="46" t="str">
        <f t="shared" si="37"/>
        <v/>
      </c>
      <c r="F127" s="46" t="str">
        <f t="shared" si="36"/>
        <v/>
      </c>
      <c r="G127" s="63" t="str">
        <f t="shared" si="35"/>
        <v/>
      </c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 s="64" customFormat="1" x14ac:dyDescent="0.4">
      <c r="A128" s="46" t="str">
        <f>IF(B128&lt;&gt;"",COUNTA($B$35:B128),"")</f>
        <v/>
      </c>
      <c r="B128" s="30"/>
      <c r="C128" s="30"/>
      <c r="D128" s="62" t="str">
        <f t="shared" si="34"/>
        <v/>
      </c>
      <c r="E128" s="46" t="str">
        <f t="shared" si="37"/>
        <v/>
      </c>
      <c r="F128" s="46" t="str">
        <f t="shared" si="36"/>
        <v/>
      </c>
      <c r="G128" s="63" t="str">
        <f t="shared" si="35"/>
        <v/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 s="64" customFormat="1" x14ac:dyDescent="0.4">
      <c r="A129" s="46" t="str">
        <f>IF(B129&lt;&gt;"",COUNTA($B$35:B129),"")</f>
        <v/>
      </c>
      <c r="B129" s="30"/>
      <c r="C129" s="30"/>
      <c r="D129" s="62" t="str">
        <f t="shared" si="34"/>
        <v/>
      </c>
      <c r="E129" s="46" t="str">
        <f t="shared" si="37"/>
        <v/>
      </c>
      <c r="F129" s="46" t="str">
        <f t="shared" si="36"/>
        <v/>
      </c>
      <c r="G129" s="63" t="str">
        <f t="shared" si="35"/>
        <v/>
      </c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 s="64" customFormat="1" x14ac:dyDescent="0.4">
      <c r="A130" s="46" t="str">
        <f>IF(B130&lt;&gt;"",COUNTA($B$35:B130),"")</f>
        <v/>
      </c>
      <c r="B130" s="30"/>
      <c r="C130" s="30"/>
      <c r="D130" s="62" t="str">
        <f t="shared" ref="D130:D161" si="38">IF(C130="","",(SUM(H130:W130)/D$31)*100)</f>
        <v/>
      </c>
      <c r="E130" s="46" t="str">
        <f t="shared" si="37"/>
        <v/>
      </c>
      <c r="F130" s="46" t="str">
        <f t="shared" si="36"/>
        <v/>
      </c>
      <c r="G130" s="63" t="str">
        <f t="shared" si="35"/>
        <v/>
      </c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 s="64" customFormat="1" x14ac:dyDescent="0.4">
      <c r="A131" s="46" t="str">
        <f>IF(B131&lt;&gt;"",COUNTA($B$35:B131),"")</f>
        <v/>
      </c>
      <c r="B131" s="30"/>
      <c r="C131" s="30"/>
      <c r="D131" s="62" t="str">
        <f t="shared" si="38"/>
        <v/>
      </c>
      <c r="E131" s="46" t="str">
        <f t="shared" si="37"/>
        <v/>
      </c>
      <c r="F131" s="46" t="str">
        <f t="shared" si="36"/>
        <v/>
      </c>
      <c r="G131" s="63" t="str">
        <f t="shared" si="35"/>
        <v/>
      </c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 s="64" customFormat="1" x14ac:dyDescent="0.4">
      <c r="A132" s="46" t="str">
        <f>IF(B132&lt;&gt;"",COUNTA($B$35:B132),"")</f>
        <v/>
      </c>
      <c r="B132" s="30"/>
      <c r="C132" s="30"/>
      <c r="D132" s="62" t="str">
        <f t="shared" si="38"/>
        <v/>
      </c>
      <c r="E132" s="46" t="str">
        <f t="shared" si="37"/>
        <v/>
      </c>
      <c r="F132" s="46" t="str">
        <f t="shared" si="36"/>
        <v/>
      </c>
      <c r="G132" s="63" t="str">
        <f t="shared" si="35"/>
        <v/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 s="64" customFormat="1" x14ac:dyDescent="0.4">
      <c r="A133" s="46" t="str">
        <f>IF(B133&lt;&gt;"",COUNTA($B$35:B133),"")</f>
        <v/>
      </c>
      <c r="B133" s="30"/>
      <c r="C133" s="30"/>
      <c r="D133" s="62" t="str">
        <f t="shared" si="38"/>
        <v/>
      </c>
      <c r="E133" s="46" t="str">
        <f t="shared" si="37"/>
        <v/>
      </c>
      <c r="F133" s="46" t="str">
        <f t="shared" si="36"/>
        <v/>
      </c>
      <c r="G133" s="63" t="str">
        <f t="shared" si="35"/>
        <v/>
      </c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 s="64" customFormat="1" x14ac:dyDescent="0.4">
      <c r="A134" s="46" t="str">
        <f>IF(B134&lt;&gt;"",COUNTA($B$35:B134),"")</f>
        <v/>
      </c>
      <c r="B134" s="30"/>
      <c r="C134" s="30"/>
      <c r="D134" s="62" t="str">
        <f t="shared" si="38"/>
        <v/>
      </c>
      <c r="E134" s="46" t="str">
        <f t="shared" si="37"/>
        <v/>
      </c>
      <c r="F134" s="46" t="str">
        <f t="shared" si="36"/>
        <v/>
      </c>
      <c r="G134" s="63" t="str">
        <f t="shared" si="35"/>
        <v/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 s="64" customFormat="1" x14ac:dyDescent="0.4">
      <c r="A135" s="46" t="str">
        <f>IF(B135&lt;&gt;"",COUNTA($B$35:B135),"")</f>
        <v/>
      </c>
      <c r="B135" s="30"/>
      <c r="C135" s="30"/>
      <c r="D135" s="62" t="str">
        <f t="shared" si="38"/>
        <v/>
      </c>
      <c r="E135" s="46" t="str">
        <f t="shared" si="37"/>
        <v/>
      </c>
      <c r="F135" s="46" t="str">
        <f t="shared" si="36"/>
        <v/>
      </c>
      <c r="G135" s="63" t="str">
        <f t="shared" si="35"/>
        <v/>
      </c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 s="64" customFormat="1" x14ac:dyDescent="0.4">
      <c r="A136" s="46" t="str">
        <f>IF(B136&lt;&gt;"",COUNTA($B$35:B136),"")</f>
        <v/>
      </c>
      <c r="B136" s="30"/>
      <c r="C136" s="30"/>
      <c r="D136" s="62" t="str">
        <f t="shared" si="38"/>
        <v/>
      </c>
      <c r="E136" s="46" t="str">
        <f t="shared" si="37"/>
        <v/>
      </c>
      <c r="F136" s="46" t="str">
        <f t="shared" si="36"/>
        <v/>
      </c>
      <c r="G136" s="63" t="str">
        <f t="shared" si="35"/>
        <v/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 s="64" customFormat="1" x14ac:dyDescent="0.4">
      <c r="A137" s="46" t="str">
        <f>IF(B137&lt;&gt;"",COUNTA($B$35:B137),"")</f>
        <v/>
      </c>
      <c r="B137" s="30"/>
      <c r="C137" s="30"/>
      <c r="D137" s="62" t="str">
        <f t="shared" si="38"/>
        <v/>
      </c>
      <c r="E137" s="46" t="str">
        <f t="shared" ref="E137:E168" si="39">IF(ISBLANK(B137),"",IF(OR(I137&lt;18,K137&lt;18,M137&lt;18,O137&lt;18,Q137&lt;18,S137&lt;18,U137&lt;18,W137&lt;18),"FAIL","PASS"))</f>
        <v/>
      </c>
      <c r="F137" s="46" t="str">
        <f t="shared" si="36"/>
        <v/>
      </c>
      <c r="G137" s="63" t="str">
        <f t="shared" si="35"/>
        <v/>
      </c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 s="64" customFormat="1" x14ac:dyDescent="0.4">
      <c r="A138" s="46" t="str">
        <f>IF(B138&lt;&gt;"",COUNTA($B$35:B138),"")</f>
        <v/>
      </c>
      <c r="B138" s="30"/>
      <c r="C138" s="30"/>
      <c r="D138" s="62" t="str">
        <f t="shared" si="38"/>
        <v/>
      </c>
      <c r="E138" s="46" t="str">
        <f t="shared" si="39"/>
        <v/>
      </c>
      <c r="F138" s="46" t="str">
        <f t="shared" si="36"/>
        <v/>
      </c>
      <c r="G138" s="63" t="str">
        <f t="shared" si="35"/>
        <v/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 s="64" customFormat="1" x14ac:dyDescent="0.4">
      <c r="A139" s="46" t="str">
        <f>IF(B139&lt;&gt;"",COUNTA($B$35:B139),"")</f>
        <v/>
      </c>
      <c r="B139" s="30"/>
      <c r="C139" s="30"/>
      <c r="D139" s="62" t="str">
        <f t="shared" si="38"/>
        <v/>
      </c>
      <c r="E139" s="46" t="str">
        <f t="shared" si="39"/>
        <v/>
      </c>
      <c r="F139" s="46" t="str">
        <f t="shared" si="36"/>
        <v/>
      </c>
      <c r="G139" s="63" t="str">
        <f t="shared" si="35"/>
        <v/>
      </c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 s="64" customFormat="1" x14ac:dyDescent="0.4">
      <c r="A140" s="46" t="str">
        <f>IF(B140&lt;&gt;"",COUNTA($B$35:B140),"")</f>
        <v/>
      </c>
      <c r="B140" s="30"/>
      <c r="C140" s="30"/>
      <c r="D140" s="62" t="str">
        <f t="shared" si="38"/>
        <v/>
      </c>
      <c r="E140" s="46" t="str">
        <f t="shared" si="39"/>
        <v/>
      </c>
      <c r="F140" s="46" t="str">
        <f t="shared" si="36"/>
        <v/>
      </c>
      <c r="G140" s="63" t="str">
        <f t="shared" si="35"/>
        <v/>
      </c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 s="64" customFormat="1" x14ac:dyDescent="0.4">
      <c r="A141" s="46" t="str">
        <f>IF(B141&lt;&gt;"",COUNTA($B$35:B141),"")</f>
        <v/>
      </c>
      <c r="B141" s="30"/>
      <c r="C141" s="30"/>
      <c r="D141" s="62" t="str">
        <f t="shared" si="38"/>
        <v/>
      </c>
      <c r="E141" s="46" t="str">
        <f t="shared" si="39"/>
        <v/>
      </c>
      <c r="F141" s="46" t="str">
        <f t="shared" si="36"/>
        <v/>
      </c>
      <c r="G141" s="63" t="str">
        <f t="shared" si="35"/>
        <v/>
      </c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 s="64" customFormat="1" x14ac:dyDescent="0.4">
      <c r="A142" s="46" t="str">
        <f>IF(B142&lt;&gt;"",COUNTA($B$35:B142),"")</f>
        <v/>
      </c>
      <c r="B142" s="30"/>
      <c r="C142" s="30"/>
      <c r="D142" s="62" t="str">
        <f t="shared" si="38"/>
        <v/>
      </c>
      <c r="E142" s="46" t="str">
        <f t="shared" si="39"/>
        <v/>
      </c>
      <c r="F142" s="46" t="str">
        <f t="shared" si="36"/>
        <v/>
      </c>
      <c r="G142" s="63" t="str">
        <f t="shared" si="35"/>
        <v/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 s="64" customFormat="1" x14ac:dyDescent="0.4">
      <c r="A143" s="46" t="str">
        <f>IF(B143&lt;&gt;"",COUNTA($B$35:B143),"")</f>
        <v/>
      </c>
      <c r="B143" s="30"/>
      <c r="C143" s="30"/>
      <c r="D143" s="62" t="str">
        <f t="shared" si="38"/>
        <v/>
      </c>
      <c r="E143" s="46" t="str">
        <f t="shared" si="39"/>
        <v/>
      </c>
      <c r="F143" s="46" t="str">
        <f t="shared" si="36"/>
        <v/>
      </c>
      <c r="G143" s="63" t="str">
        <f t="shared" si="35"/>
        <v/>
      </c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 s="64" customFormat="1" x14ac:dyDescent="0.4">
      <c r="A144" s="46" t="str">
        <f>IF(B144&lt;&gt;"",COUNTA($B$35:B144),"")</f>
        <v/>
      </c>
      <c r="B144" s="30"/>
      <c r="C144" s="30"/>
      <c r="D144" s="62" t="str">
        <f t="shared" si="38"/>
        <v/>
      </c>
      <c r="E144" s="46" t="str">
        <f t="shared" si="39"/>
        <v/>
      </c>
      <c r="F144" s="46" t="str">
        <f t="shared" si="36"/>
        <v/>
      </c>
      <c r="G144" s="63" t="str">
        <f t="shared" si="35"/>
        <v/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 s="64" customFormat="1" x14ac:dyDescent="0.4">
      <c r="A145" s="46" t="str">
        <f>IF(B145&lt;&gt;"",COUNTA($B$35:B145),"")</f>
        <v/>
      </c>
      <c r="B145" s="30"/>
      <c r="C145" s="30"/>
      <c r="D145" s="62" t="str">
        <f t="shared" si="38"/>
        <v/>
      </c>
      <c r="E145" s="46" t="str">
        <f t="shared" si="39"/>
        <v/>
      </c>
      <c r="F145" s="46" t="str">
        <f t="shared" si="36"/>
        <v/>
      </c>
      <c r="G145" s="63" t="str">
        <f t="shared" si="35"/>
        <v/>
      </c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 s="64" customFormat="1" x14ac:dyDescent="0.4">
      <c r="A146" s="46" t="str">
        <f>IF(B146&lt;&gt;"",COUNTA($B$35:B146),"")</f>
        <v/>
      </c>
      <c r="B146" s="30"/>
      <c r="C146" s="30"/>
      <c r="D146" s="62" t="str">
        <f t="shared" si="38"/>
        <v/>
      </c>
      <c r="E146" s="46" t="str">
        <f t="shared" si="39"/>
        <v/>
      </c>
      <c r="F146" s="46" t="str">
        <f t="shared" si="36"/>
        <v/>
      </c>
      <c r="G146" s="63" t="str">
        <f t="shared" si="35"/>
        <v/>
      </c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 s="64" customFormat="1" x14ac:dyDescent="0.4">
      <c r="A147" s="46" t="str">
        <f>IF(B147&lt;&gt;"",COUNTA($B$35:B147),"")</f>
        <v/>
      </c>
      <c r="B147" s="30"/>
      <c r="C147" s="30"/>
      <c r="D147" s="62" t="str">
        <f t="shared" si="38"/>
        <v/>
      </c>
      <c r="E147" s="46" t="str">
        <f t="shared" si="39"/>
        <v/>
      </c>
      <c r="F147" s="46" t="str">
        <f t="shared" si="36"/>
        <v/>
      </c>
      <c r="G147" s="63" t="str">
        <f t="shared" si="35"/>
        <v/>
      </c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 s="64" customFormat="1" x14ac:dyDescent="0.4">
      <c r="A148" s="46" t="str">
        <f>IF(B148&lt;&gt;"",COUNTA($B$35:B148),"")</f>
        <v/>
      </c>
      <c r="B148" s="30"/>
      <c r="C148" s="30"/>
      <c r="D148" s="62" t="str">
        <f t="shared" si="38"/>
        <v/>
      </c>
      <c r="E148" s="46" t="str">
        <f t="shared" si="39"/>
        <v/>
      </c>
      <c r="F148" s="46" t="str">
        <f t="shared" si="36"/>
        <v/>
      </c>
      <c r="G148" s="63" t="str">
        <f t="shared" si="35"/>
        <v/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 s="64" customFormat="1" x14ac:dyDescent="0.4">
      <c r="A149" s="46" t="str">
        <f>IF(B149&lt;&gt;"",COUNTA($B$35:B149),"")</f>
        <v/>
      </c>
      <c r="B149" s="30"/>
      <c r="C149" s="30"/>
      <c r="D149" s="62" t="str">
        <f t="shared" si="38"/>
        <v/>
      </c>
      <c r="E149" s="46" t="str">
        <f t="shared" si="39"/>
        <v/>
      </c>
      <c r="F149" s="46" t="str">
        <f t="shared" si="36"/>
        <v/>
      </c>
      <c r="G149" s="63" t="str">
        <f t="shared" si="35"/>
        <v/>
      </c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 s="64" customFormat="1" x14ac:dyDescent="0.4">
      <c r="A150" s="46" t="str">
        <f>IF(B150&lt;&gt;"",COUNTA($B$35:B150),"")</f>
        <v/>
      </c>
      <c r="B150" s="30"/>
      <c r="C150" s="30"/>
      <c r="D150" s="62" t="str">
        <f t="shared" si="38"/>
        <v/>
      </c>
      <c r="E150" s="46" t="str">
        <f t="shared" si="39"/>
        <v/>
      </c>
      <c r="F150" s="46" t="str">
        <f t="shared" si="36"/>
        <v/>
      </c>
      <c r="G150" s="63" t="str">
        <f t="shared" si="35"/>
        <v/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 s="64" customFormat="1" x14ac:dyDescent="0.4">
      <c r="A151" s="46" t="str">
        <f>IF(B151&lt;&gt;"",COUNTA($B$35:B151),"")</f>
        <v/>
      </c>
      <c r="B151" s="30"/>
      <c r="C151" s="30"/>
      <c r="D151" s="62" t="str">
        <f t="shared" si="38"/>
        <v/>
      </c>
      <c r="E151" s="46" t="str">
        <f t="shared" si="39"/>
        <v/>
      </c>
      <c r="F151" s="46" t="str">
        <f t="shared" si="36"/>
        <v/>
      </c>
      <c r="G151" s="63" t="str">
        <f t="shared" si="35"/>
        <v/>
      </c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 s="64" customFormat="1" x14ac:dyDescent="0.4">
      <c r="A152" s="46" t="str">
        <f>IF(B152&lt;&gt;"",COUNTA($B$35:B152),"")</f>
        <v/>
      </c>
      <c r="B152" s="30"/>
      <c r="C152" s="30"/>
      <c r="D152" s="62" t="str">
        <f t="shared" si="38"/>
        <v/>
      </c>
      <c r="E152" s="46" t="str">
        <f t="shared" si="39"/>
        <v/>
      </c>
      <c r="F152" s="46" t="str">
        <f t="shared" si="36"/>
        <v/>
      </c>
      <c r="G152" s="63" t="str">
        <f t="shared" si="35"/>
        <v/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 s="64" customFormat="1" x14ac:dyDescent="0.4">
      <c r="A153" s="46" t="str">
        <f>IF(B153&lt;&gt;"",COUNTA($B$35:B153),"")</f>
        <v/>
      </c>
      <c r="B153" s="30"/>
      <c r="C153" s="30"/>
      <c r="D153" s="62" t="str">
        <f t="shared" si="38"/>
        <v/>
      </c>
      <c r="E153" s="46" t="str">
        <f t="shared" si="39"/>
        <v/>
      </c>
      <c r="F153" s="46" t="str">
        <f t="shared" si="36"/>
        <v/>
      </c>
      <c r="G153" s="63" t="str">
        <f t="shared" si="35"/>
        <v/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 s="64" customFormat="1" x14ac:dyDescent="0.4">
      <c r="A154" s="46" t="str">
        <f>IF(B154&lt;&gt;"",COUNTA($B$35:B154),"")</f>
        <v/>
      </c>
      <c r="B154" s="30"/>
      <c r="C154" s="30"/>
      <c r="D154" s="62" t="str">
        <f t="shared" si="38"/>
        <v/>
      </c>
      <c r="E154" s="46" t="str">
        <f t="shared" si="39"/>
        <v/>
      </c>
      <c r="F154" s="46" t="str">
        <f t="shared" si="36"/>
        <v/>
      </c>
      <c r="G154" s="63" t="str">
        <f t="shared" si="35"/>
        <v/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 s="64" customFormat="1" x14ac:dyDescent="0.4">
      <c r="A155" s="46" t="str">
        <f>IF(B155&lt;&gt;"",COUNTA($B$35:B155),"")</f>
        <v/>
      </c>
      <c r="B155" s="30"/>
      <c r="C155" s="30"/>
      <c r="D155" s="62" t="str">
        <f t="shared" si="38"/>
        <v/>
      </c>
      <c r="E155" s="46" t="str">
        <f t="shared" si="39"/>
        <v/>
      </c>
      <c r="F155" s="46" t="str">
        <f t="shared" si="36"/>
        <v/>
      </c>
      <c r="G155" s="63" t="str">
        <f t="shared" si="35"/>
        <v/>
      </c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 s="64" customFormat="1" x14ac:dyDescent="0.4">
      <c r="A156" s="46" t="str">
        <f>IF(B156&lt;&gt;"",COUNTA($B$35:B156),"")</f>
        <v/>
      </c>
      <c r="B156" s="30"/>
      <c r="C156" s="30"/>
      <c r="D156" s="62" t="str">
        <f t="shared" si="38"/>
        <v/>
      </c>
      <c r="E156" s="46" t="str">
        <f t="shared" si="39"/>
        <v/>
      </c>
      <c r="F156" s="46" t="str">
        <f t="shared" si="36"/>
        <v/>
      </c>
      <c r="G156" s="63" t="str">
        <f t="shared" si="35"/>
        <v/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 s="64" customFormat="1" x14ac:dyDescent="0.4">
      <c r="A157" s="46" t="str">
        <f>IF(B157&lt;&gt;"",COUNTA($B$35:B157),"")</f>
        <v/>
      </c>
      <c r="B157" s="30"/>
      <c r="C157" s="30"/>
      <c r="D157" s="62" t="str">
        <f t="shared" si="38"/>
        <v/>
      </c>
      <c r="E157" s="46" t="str">
        <f t="shared" si="39"/>
        <v/>
      </c>
      <c r="F157" s="46" t="str">
        <f t="shared" si="36"/>
        <v/>
      </c>
      <c r="G157" s="63" t="str">
        <f t="shared" si="35"/>
        <v/>
      </c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 s="64" customFormat="1" x14ac:dyDescent="0.4">
      <c r="A158" s="46" t="str">
        <f>IF(B158&lt;&gt;"",COUNTA($B$35:B158),"")</f>
        <v/>
      </c>
      <c r="B158" s="30"/>
      <c r="C158" s="30"/>
      <c r="D158" s="62" t="str">
        <f t="shared" si="38"/>
        <v/>
      </c>
      <c r="E158" s="46" t="str">
        <f t="shared" si="39"/>
        <v/>
      </c>
      <c r="F158" s="46" t="str">
        <f t="shared" si="36"/>
        <v/>
      </c>
      <c r="G158" s="63" t="str">
        <f t="shared" si="35"/>
        <v/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 s="64" customFormat="1" x14ac:dyDescent="0.4">
      <c r="A159" s="46" t="str">
        <f>IF(B159&lt;&gt;"",COUNTA($B$35:B159),"")</f>
        <v/>
      </c>
      <c r="B159" s="30"/>
      <c r="C159" s="30"/>
      <c r="D159" s="62" t="str">
        <f t="shared" si="38"/>
        <v/>
      </c>
      <c r="E159" s="46" t="str">
        <f t="shared" si="39"/>
        <v/>
      </c>
      <c r="F159" s="46" t="str">
        <f t="shared" si="36"/>
        <v/>
      </c>
      <c r="G159" s="63" t="str">
        <f t="shared" si="35"/>
        <v/>
      </c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 s="64" customFormat="1" x14ac:dyDescent="0.4">
      <c r="A160" s="46" t="str">
        <f>IF(B160&lt;&gt;"",COUNTA($B$35:B160),"")</f>
        <v/>
      </c>
      <c r="B160" s="30"/>
      <c r="C160" s="30"/>
      <c r="D160" s="62" t="str">
        <f t="shared" si="38"/>
        <v/>
      </c>
      <c r="E160" s="46" t="str">
        <f t="shared" si="39"/>
        <v/>
      </c>
      <c r="F160" s="46" t="str">
        <f t="shared" si="36"/>
        <v/>
      </c>
      <c r="G160" s="63" t="str">
        <f t="shared" si="35"/>
        <v/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 s="64" customFormat="1" x14ac:dyDescent="0.4">
      <c r="A161" s="46" t="str">
        <f>IF(B161&lt;&gt;"",COUNTA($B$35:B161),"")</f>
        <v/>
      </c>
      <c r="B161" s="30"/>
      <c r="C161" s="30"/>
      <c r="D161" s="62" t="str">
        <f t="shared" si="38"/>
        <v/>
      </c>
      <c r="E161" s="46" t="str">
        <f t="shared" si="39"/>
        <v/>
      </c>
      <c r="F161" s="46" t="str">
        <f t="shared" si="36"/>
        <v/>
      </c>
      <c r="G161" s="63" t="str">
        <f t="shared" si="35"/>
        <v/>
      </c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 s="64" customFormat="1" x14ac:dyDescent="0.4">
      <c r="A162" s="46" t="str">
        <f>IF(B162&lt;&gt;"",COUNTA($B$35:B162),"")</f>
        <v/>
      </c>
      <c r="B162" s="30"/>
      <c r="C162" s="30"/>
      <c r="D162" s="62" t="str">
        <f t="shared" ref="D162:D193" si="40">IF(C162="","",(SUM(H162:W162)/D$31)*100)</f>
        <v/>
      </c>
      <c r="E162" s="46" t="str">
        <f t="shared" si="39"/>
        <v/>
      </c>
      <c r="F162" s="46" t="str">
        <f t="shared" si="36"/>
        <v/>
      </c>
      <c r="G162" s="63" t="str">
        <f t="shared" si="35"/>
        <v/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 s="64" customFormat="1" x14ac:dyDescent="0.4">
      <c r="A163" s="46" t="str">
        <f>IF(B163&lt;&gt;"",COUNTA($B$35:B163),"")</f>
        <v/>
      </c>
      <c r="B163" s="30"/>
      <c r="C163" s="30"/>
      <c r="D163" s="62" t="str">
        <f t="shared" si="40"/>
        <v/>
      </c>
      <c r="E163" s="46" t="str">
        <f t="shared" si="39"/>
        <v/>
      </c>
      <c r="F163" s="46" t="str">
        <f t="shared" si="36"/>
        <v/>
      </c>
      <c r="G163" s="63" t="str">
        <f t="shared" ref="G163:G226" si="41">IF(D163 = "", "", IF(D163 &gt;= 70, "FCD", IF(D163 &gt;= 60, "FC", IF(D163 &gt;= 35, "SC", ""))))</f>
        <v/>
      </c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 s="64" customFormat="1" x14ac:dyDescent="0.4">
      <c r="A164" s="46" t="str">
        <f>IF(B164&lt;&gt;"",COUNTA($B$35:B164),"")</f>
        <v/>
      </c>
      <c r="B164" s="30"/>
      <c r="C164" s="30"/>
      <c r="D164" s="62" t="str">
        <f t="shared" si="40"/>
        <v/>
      </c>
      <c r="E164" s="46" t="str">
        <f t="shared" si="39"/>
        <v/>
      </c>
      <c r="F164" s="46" t="str">
        <f t="shared" si="36"/>
        <v/>
      </c>
      <c r="G164" s="63" t="str">
        <f t="shared" si="41"/>
        <v/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 s="64" customFormat="1" x14ac:dyDescent="0.4">
      <c r="A165" s="46" t="str">
        <f>IF(B165&lt;&gt;"",COUNTA($B$35:B165),"")</f>
        <v/>
      </c>
      <c r="B165" s="30"/>
      <c r="C165" s="30"/>
      <c r="D165" s="62" t="str">
        <f t="shared" si="40"/>
        <v/>
      </c>
      <c r="E165" s="46" t="str">
        <f t="shared" si="39"/>
        <v/>
      </c>
      <c r="F165" s="46" t="str">
        <f t="shared" ref="F165:F228" si="42">IF(E165="Pass",G165, IF(E165="FAIL","FAIL",""))</f>
        <v/>
      </c>
      <c r="G165" s="63" t="str">
        <f t="shared" si="41"/>
        <v/>
      </c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 s="64" customFormat="1" x14ac:dyDescent="0.4">
      <c r="A166" s="46" t="str">
        <f>IF(B166&lt;&gt;"",COUNTA($B$35:B166),"")</f>
        <v/>
      </c>
      <c r="B166" s="30"/>
      <c r="C166" s="30"/>
      <c r="D166" s="62" t="str">
        <f t="shared" si="40"/>
        <v/>
      </c>
      <c r="E166" s="46" t="str">
        <f t="shared" si="39"/>
        <v/>
      </c>
      <c r="F166" s="46" t="str">
        <f t="shared" si="42"/>
        <v/>
      </c>
      <c r="G166" s="63" t="str">
        <f t="shared" si="41"/>
        <v/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 s="64" customFormat="1" x14ac:dyDescent="0.4">
      <c r="A167" s="46" t="str">
        <f>IF(B167&lt;&gt;"",COUNTA($B$35:B167),"")</f>
        <v/>
      </c>
      <c r="B167" s="30"/>
      <c r="C167" s="30"/>
      <c r="D167" s="62" t="str">
        <f t="shared" si="40"/>
        <v/>
      </c>
      <c r="E167" s="46" t="str">
        <f t="shared" si="39"/>
        <v/>
      </c>
      <c r="F167" s="46" t="str">
        <f t="shared" si="42"/>
        <v/>
      </c>
      <c r="G167" s="63" t="str">
        <f t="shared" si="41"/>
        <v/>
      </c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 s="64" customFormat="1" x14ac:dyDescent="0.4">
      <c r="A168" s="46" t="str">
        <f>IF(B168&lt;&gt;"",COUNTA($B$35:B168),"")</f>
        <v/>
      </c>
      <c r="B168" s="30"/>
      <c r="C168" s="30"/>
      <c r="D168" s="62" t="str">
        <f t="shared" si="40"/>
        <v/>
      </c>
      <c r="E168" s="46" t="str">
        <f t="shared" si="39"/>
        <v/>
      </c>
      <c r="F168" s="46" t="str">
        <f t="shared" si="42"/>
        <v/>
      </c>
      <c r="G168" s="63" t="str">
        <f t="shared" si="41"/>
        <v/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 s="64" customFormat="1" x14ac:dyDescent="0.4">
      <c r="A169" s="46" t="str">
        <f>IF(B169&lt;&gt;"",COUNTA($B$35:B169),"")</f>
        <v/>
      </c>
      <c r="B169" s="30"/>
      <c r="C169" s="30"/>
      <c r="D169" s="62" t="str">
        <f t="shared" si="40"/>
        <v/>
      </c>
      <c r="E169" s="46" t="str">
        <f t="shared" ref="E169:E200" si="43">IF(ISBLANK(B169),"",IF(OR(I169&lt;18,K169&lt;18,M169&lt;18,O169&lt;18,Q169&lt;18,S169&lt;18,U169&lt;18,W169&lt;18),"FAIL","PASS"))</f>
        <v/>
      </c>
      <c r="F169" s="46" t="str">
        <f t="shared" si="42"/>
        <v/>
      </c>
      <c r="G169" s="63" t="str">
        <f t="shared" si="41"/>
        <v/>
      </c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 s="64" customFormat="1" x14ac:dyDescent="0.4">
      <c r="A170" s="46" t="str">
        <f>IF(B170&lt;&gt;"",COUNTA($B$35:B170),"")</f>
        <v/>
      </c>
      <c r="B170" s="30"/>
      <c r="C170" s="30"/>
      <c r="D170" s="62" t="str">
        <f t="shared" si="40"/>
        <v/>
      </c>
      <c r="E170" s="46" t="str">
        <f t="shared" si="43"/>
        <v/>
      </c>
      <c r="F170" s="46" t="str">
        <f t="shared" si="42"/>
        <v/>
      </c>
      <c r="G170" s="63" t="str">
        <f t="shared" si="41"/>
        <v/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 s="64" customFormat="1" x14ac:dyDescent="0.4">
      <c r="A171" s="46" t="str">
        <f>IF(B171&lt;&gt;"",COUNTA($B$35:B171),"")</f>
        <v/>
      </c>
      <c r="B171" s="30"/>
      <c r="C171" s="30"/>
      <c r="D171" s="62" t="str">
        <f t="shared" si="40"/>
        <v/>
      </c>
      <c r="E171" s="46" t="str">
        <f t="shared" si="43"/>
        <v/>
      </c>
      <c r="F171" s="46" t="str">
        <f t="shared" si="42"/>
        <v/>
      </c>
      <c r="G171" s="63" t="str">
        <f t="shared" si="41"/>
        <v/>
      </c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 s="64" customFormat="1" x14ac:dyDescent="0.4">
      <c r="A172" s="46" t="str">
        <f>IF(B172&lt;&gt;"",COUNTA($B$35:B172),"")</f>
        <v/>
      </c>
      <c r="B172" s="30"/>
      <c r="C172" s="30"/>
      <c r="D172" s="62" t="str">
        <f t="shared" si="40"/>
        <v/>
      </c>
      <c r="E172" s="46" t="str">
        <f t="shared" si="43"/>
        <v/>
      </c>
      <c r="F172" s="46" t="str">
        <f t="shared" si="42"/>
        <v/>
      </c>
      <c r="G172" s="63" t="str">
        <f t="shared" si="41"/>
        <v/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 s="64" customFormat="1" x14ac:dyDescent="0.4">
      <c r="A173" s="46" t="str">
        <f>IF(B173&lt;&gt;"",COUNTA($B$35:B173),"")</f>
        <v/>
      </c>
      <c r="B173" s="30"/>
      <c r="C173" s="30"/>
      <c r="D173" s="62" t="str">
        <f t="shared" si="40"/>
        <v/>
      </c>
      <c r="E173" s="46" t="str">
        <f t="shared" si="43"/>
        <v/>
      </c>
      <c r="F173" s="46" t="str">
        <f t="shared" si="42"/>
        <v/>
      </c>
      <c r="G173" s="63" t="str">
        <f t="shared" si="41"/>
        <v/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 s="64" customFormat="1" x14ac:dyDescent="0.4">
      <c r="A174" s="46" t="str">
        <f>IF(B174&lt;&gt;"",COUNTA($B$35:B174),"")</f>
        <v/>
      </c>
      <c r="B174" s="30"/>
      <c r="C174" s="30"/>
      <c r="D174" s="62" t="str">
        <f t="shared" si="40"/>
        <v/>
      </c>
      <c r="E174" s="46" t="str">
        <f t="shared" si="43"/>
        <v/>
      </c>
      <c r="F174" s="46" t="str">
        <f t="shared" si="42"/>
        <v/>
      </c>
      <c r="G174" s="63" t="str">
        <f t="shared" si="41"/>
        <v/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 s="64" customFormat="1" x14ac:dyDescent="0.4">
      <c r="A175" s="46" t="str">
        <f>IF(B175&lt;&gt;"",COUNTA($B$35:B175),"")</f>
        <v/>
      </c>
      <c r="B175" s="30"/>
      <c r="C175" s="30"/>
      <c r="D175" s="62" t="str">
        <f t="shared" si="40"/>
        <v/>
      </c>
      <c r="E175" s="46" t="str">
        <f t="shared" si="43"/>
        <v/>
      </c>
      <c r="F175" s="46" t="str">
        <f t="shared" si="42"/>
        <v/>
      </c>
      <c r="G175" s="63" t="str">
        <f t="shared" si="41"/>
        <v/>
      </c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 s="64" customFormat="1" x14ac:dyDescent="0.4">
      <c r="A176" s="46" t="str">
        <f>IF(B176&lt;&gt;"",COUNTA($B$35:B176),"")</f>
        <v/>
      </c>
      <c r="B176" s="30"/>
      <c r="C176" s="30"/>
      <c r="D176" s="62" t="str">
        <f t="shared" si="40"/>
        <v/>
      </c>
      <c r="E176" s="46" t="str">
        <f t="shared" si="43"/>
        <v/>
      </c>
      <c r="F176" s="46" t="str">
        <f t="shared" si="42"/>
        <v/>
      </c>
      <c r="G176" s="63" t="str">
        <f t="shared" si="41"/>
        <v/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 s="64" customFormat="1" x14ac:dyDescent="0.4">
      <c r="A177" s="46" t="str">
        <f>IF(B177&lt;&gt;"",COUNTA($B$35:B177),"")</f>
        <v/>
      </c>
      <c r="B177" s="30"/>
      <c r="C177" s="30"/>
      <c r="D177" s="62" t="str">
        <f t="shared" si="40"/>
        <v/>
      </c>
      <c r="E177" s="46" t="str">
        <f t="shared" si="43"/>
        <v/>
      </c>
      <c r="F177" s="46" t="str">
        <f t="shared" si="42"/>
        <v/>
      </c>
      <c r="G177" s="63" t="str">
        <f t="shared" si="41"/>
        <v/>
      </c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 s="64" customFormat="1" x14ac:dyDescent="0.4">
      <c r="A178" s="46" t="str">
        <f>IF(B178&lt;&gt;"",COUNTA($B$35:B178),"")</f>
        <v/>
      </c>
      <c r="B178" s="30"/>
      <c r="C178" s="30"/>
      <c r="D178" s="62" t="str">
        <f t="shared" si="40"/>
        <v/>
      </c>
      <c r="E178" s="46" t="str">
        <f t="shared" si="43"/>
        <v/>
      </c>
      <c r="F178" s="46" t="str">
        <f t="shared" si="42"/>
        <v/>
      </c>
      <c r="G178" s="63" t="str">
        <f t="shared" si="41"/>
        <v/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 s="64" customFormat="1" x14ac:dyDescent="0.4">
      <c r="A179" s="46" t="str">
        <f>IF(B179&lt;&gt;"",COUNTA($B$35:B179),"")</f>
        <v/>
      </c>
      <c r="B179" s="30"/>
      <c r="C179" s="30"/>
      <c r="D179" s="62" t="str">
        <f t="shared" si="40"/>
        <v/>
      </c>
      <c r="E179" s="46" t="str">
        <f t="shared" si="43"/>
        <v/>
      </c>
      <c r="F179" s="46" t="str">
        <f t="shared" si="42"/>
        <v/>
      </c>
      <c r="G179" s="63" t="str">
        <f t="shared" si="41"/>
        <v/>
      </c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 s="64" customFormat="1" x14ac:dyDescent="0.4">
      <c r="A180" s="46" t="str">
        <f>IF(B180&lt;&gt;"",COUNTA($B$35:B180),"")</f>
        <v/>
      </c>
      <c r="B180" s="30"/>
      <c r="C180" s="30"/>
      <c r="D180" s="62" t="str">
        <f t="shared" si="40"/>
        <v/>
      </c>
      <c r="E180" s="46" t="str">
        <f t="shared" si="43"/>
        <v/>
      </c>
      <c r="F180" s="46" t="str">
        <f t="shared" si="42"/>
        <v/>
      </c>
      <c r="G180" s="63" t="str">
        <f t="shared" si="41"/>
        <v/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 s="64" customFormat="1" x14ac:dyDescent="0.4">
      <c r="A181" s="46" t="str">
        <f>IF(B181&lt;&gt;"",COUNTA($B$35:B181),"")</f>
        <v/>
      </c>
      <c r="B181" s="30"/>
      <c r="C181" s="30"/>
      <c r="D181" s="62" t="str">
        <f t="shared" si="40"/>
        <v/>
      </c>
      <c r="E181" s="46" t="str">
        <f t="shared" si="43"/>
        <v/>
      </c>
      <c r="F181" s="46" t="str">
        <f t="shared" si="42"/>
        <v/>
      </c>
      <c r="G181" s="63" t="str">
        <f t="shared" si="41"/>
        <v/>
      </c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s="64" customFormat="1" x14ac:dyDescent="0.4">
      <c r="A182" s="46" t="str">
        <f>IF(B182&lt;&gt;"",COUNTA($B$35:B182),"")</f>
        <v/>
      </c>
      <c r="B182" s="30"/>
      <c r="C182" s="30"/>
      <c r="D182" s="62" t="str">
        <f t="shared" si="40"/>
        <v/>
      </c>
      <c r="E182" s="46" t="str">
        <f t="shared" si="43"/>
        <v/>
      </c>
      <c r="F182" s="46" t="str">
        <f t="shared" si="42"/>
        <v/>
      </c>
      <c r="G182" s="63" t="str">
        <f t="shared" si="41"/>
        <v/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 s="64" customFormat="1" x14ac:dyDescent="0.4">
      <c r="A183" s="46" t="str">
        <f>IF(B183&lt;&gt;"",COUNTA($B$35:B183),"")</f>
        <v/>
      </c>
      <c r="B183" s="30"/>
      <c r="C183" s="30"/>
      <c r="D183" s="62" t="str">
        <f t="shared" si="40"/>
        <v/>
      </c>
      <c r="E183" s="46" t="str">
        <f t="shared" si="43"/>
        <v/>
      </c>
      <c r="F183" s="46" t="str">
        <f t="shared" si="42"/>
        <v/>
      </c>
      <c r="G183" s="63" t="str">
        <f t="shared" si="41"/>
        <v/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 s="64" customFormat="1" x14ac:dyDescent="0.4">
      <c r="A184" s="46" t="str">
        <f>IF(B184&lt;&gt;"",COUNTA($B$35:B184),"")</f>
        <v/>
      </c>
      <c r="B184" s="30"/>
      <c r="C184" s="30"/>
      <c r="D184" s="62" t="str">
        <f t="shared" si="40"/>
        <v/>
      </c>
      <c r="E184" s="46" t="str">
        <f t="shared" si="43"/>
        <v/>
      </c>
      <c r="F184" s="46" t="str">
        <f t="shared" si="42"/>
        <v/>
      </c>
      <c r="G184" s="63" t="str">
        <f t="shared" si="41"/>
        <v/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 s="64" customFormat="1" x14ac:dyDescent="0.4">
      <c r="A185" s="46" t="str">
        <f>IF(B185&lt;&gt;"",COUNTA($B$35:B185),"")</f>
        <v/>
      </c>
      <c r="B185" s="30"/>
      <c r="C185" s="30"/>
      <c r="D185" s="62" t="str">
        <f t="shared" si="40"/>
        <v/>
      </c>
      <c r="E185" s="46" t="str">
        <f t="shared" si="43"/>
        <v/>
      </c>
      <c r="F185" s="46" t="str">
        <f t="shared" si="42"/>
        <v/>
      </c>
      <c r="G185" s="63" t="str">
        <f t="shared" si="41"/>
        <v/>
      </c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 s="64" customFormat="1" x14ac:dyDescent="0.4">
      <c r="A186" s="46" t="str">
        <f>IF(B186&lt;&gt;"",COUNTA($B$35:B186),"")</f>
        <v/>
      </c>
      <c r="B186" s="30"/>
      <c r="C186" s="30"/>
      <c r="D186" s="62" t="str">
        <f t="shared" si="40"/>
        <v/>
      </c>
      <c r="E186" s="46" t="str">
        <f t="shared" si="43"/>
        <v/>
      </c>
      <c r="F186" s="46" t="str">
        <f t="shared" si="42"/>
        <v/>
      </c>
      <c r="G186" s="63" t="str">
        <f t="shared" si="41"/>
        <v/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 s="64" customFormat="1" x14ac:dyDescent="0.4">
      <c r="A187" s="46" t="str">
        <f>IF(B187&lt;&gt;"",COUNTA($B$35:B187),"")</f>
        <v/>
      </c>
      <c r="B187" s="30"/>
      <c r="C187" s="30"/>
      <c r="D187" s="62" t="str">
        <f t="shared" si="40"/>
        <v/>
      </c>
      <c r="E187" s="46" t="str">
        <f t="shared" si="43"/>
        <v/>
      </c>
      <c r="F187" s="46" t="str">
        <f t="shared" si="42"/>
        <v/>
      </c>
      <c r="G187" s="63" t="str">
        <f t="shared" si="41"/>
        <v/>
      </c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 s="64" customFormat="1" x14ac:dyDescent="0.4">
      <c r="A188" s="46" t="str">
        <f>IF(B188&lt;&gt;"",COUNTA($B$35:B188),"")</f>
        <v/>
      </c>
      <c r="B188" s="30"/>
      <c r="C188" s="30"/>
      <c r="D188" s="62" t="str">
        <f t="shared" si="40"/>
        <v/>
      </c>
      <c r="E188" s="46" t="str">
        <f t="shared" si="43"/>
        <v/>
      </c>
      <c r="F188" s="46" t="str">
        <f t="shared" si="42"/>
        <v/>
      </c>
      <c r="G188" s="63" t="str">
        <f t="shared" si="41"/>
        <v/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 s="64" customFormat="1" x14ac:dyDescent="0.4">
      <c r="A189" s="46" t="str">
        <f>IF(B189&lt;&gt;"",COUNTA($B$35:B189),"")</f>
        <v/>
      </c>
      <c r="B189" s="30"/>
      <c r="C189" s="30"/>
      <c r="D189" s="62" t="str">
        <f t="shared" si="40"/>
        <v/>
      </c>
      <c r="E189" s="46" t="str">
        <f t="shared" si="43"/>
        <v/>
      </c>
      <c r="F189" s="46" t="str">
        <f t="shared" si="42"/>
        <v/>
      </c>
      <c r="G189" s="63" t="str">
        <f t="shared" si="41"/>
        <v/>
      </c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 s="64" customFormat="1" x14ac:dyDescent="0.4">
      <c r="A190" s="46" t="str">
        <f>IF(B190&lt;&gt;"",COUNTA($B$35:B190),"")</f>
        <v/>
      </c>
      <c r="B190" s="30"/>
      <c r="C190" s="30"/>
      <c r="D190" s="62" t="str">
        <f t="shared" si="40"/>
        <v/>
      </c>
      <c r="E190" s="46" t="str">
        <f t="shared" si="43"/>
        <v/>
      </c>
      <c r="F190" s="46" t="str">
        <f t="shared" si="42"/>
        <v/>
      </c>
      <c r="G190" s="63" t="str">
        <f t="shared" si="41"/>
        <v/>
      </c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spans="1:25" s="64" customFormat="1" x14ac:dyDescent="0.4">
      <c r="A191" s="46" t="str">
        <f>IF(B191&lt;&gt;"",COUNTA($B$35:B191),"")</f>
        <v/>
      </c>
      <c r="B191" s="30"/>
      <c r="C191" s="30"/>
      <c r="D191" s="62" t="str">
        <f t="shared" si="40"/>
        <v/>
      </c>
      <c r="E191" s="46" t="str">
        <f t="shared" si="43"/>
        <v/>
      </c>
      <c r="F191" s="46" t="str">
        <f t="shared" si="42"/>
        <v/>
      </c>
      <c r="G191" s="63" t="str">
        <f t="shared" si="41"/>
        <v/>
      </c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spans="1:25" s="64" customFormat="1" x14ac:dyDescent="0.4">
      <c r="A192" s="46" t="str">
        <f>IF(B192&lt;&gt;"",COUNTA($B$35:B192),"")</f>
        <v/>
      </c>
      <c r="B192" s="30"/>
      <c r="C192" s="30"/>
      <c r="D192" s="62" t="str">
        <f t="shared" si="40"/>
        <v/>
      </c>
      <c r="E192" s="46" t="str">
        <f t="shared" si="43"/>
        <v/>
      </c>
      <c r="F192" s="46" t="str">
        <f t="shared" si="42"/>
        <v/>
      </c>
      <c r="G192" s="63" t="str">
        <f t="shared" si="41"/>
        <v/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spans="1:25" s="64" customFormat="1" x14ac:dyDescent="0.4">
      <c r="A193" s="46" t="str">
        <f>IF(B193&lt;&gt;"",COUNTA($B$35:B193),"")</f>
        <v/>
      </c>
      <c r="B193" s="30"/>
      <c r="C193" s="30"/>
      <c r="D193" s="62" t="str">
        <f t="shared" si="40"/>
        <v/>
      </c>
      <c r="E193" s="46" t="str">
        <f t="shared" si="43"/>
        <v/>
      </c>
      <c r="F193" s="46" t="str">
        <f t="shared" si="42"/>
        <v/>
      </c>
      <c r="G193" s="63" t="str">
        <f t="shared" si="41"/>
        <v/>
      </c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spans="1:25" s="64" customFormat="1" x14ac:dyDescent="0.4">
      <c r="A194" s="46" t="str">
        <f>IF(B194&lt;&gt;"",COUNTA($B$35:B194),"")</f>
        <v/>
      </c>
      <c r="B194" s="30"/>
      <c r="C194" s="30"/>
      <c r="D194" s="62" t="str">
        <f t="shared" ref="D194:D225" si="44">IF(C194="","",(SUM(H194:W194)/D$31)*100)</f>
        <v/>
      </c>
      <c r="E194" s="46" t="str">
        <f t="shared" si="43"/>
        <v/>
      </c>
      <c r="F194" s="46" t="str">
        <f t="shared" si="42"/>
        <v/>
      </c>
      <c r="G194" s="63" t="str">
        <f t="shared" si="41"/>
        <v/>
      </c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spans="1:25" s="64" customFormat="1" x14ac:dyDescent="0.4">
      <c r="A195" s="46" t="str">
        <f>IF(B195&lt;&gt;"",COUNTA($B$35:B195),"")</f>
        <v/>
      </c>
      <c r="B195" s="30"/>
      <c r="C195" s="30"/>
      <c r="D195" s="62" t="str">
        <f t="shared" si="44"/>
        <v/>
      </c>
      <c r="E195" s="46" t="str">
        <f t="shared" si="43"/>
        <v/>
      </c>
      <c r="F195" s="46" t="str">
        <f t="shared" si="42"/>
        <v/>
      </c>
      <c r="G195" s="63" t="str">
        <f t="shared" si="41"/>
        <v/>
      </c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spans="1:25" s="64" customFormat="1" x14ac:dyDescent="0.4">
      <c r="A196" s="46" t="str">
        <f>IF(B196&lt;&gt;"",COUNTA($B$35:B196),"")</f>
        <v/>
      </c>
      <c r="B196" s="30"/>
      <c r="C196" s="30"/>
      <c r="D196" s="62" t="str">
        <f t="shared" si="44"/>
        <v/>
      </c>
      <c r="E196" s="46" t="str">
        <f t="shared" si="43"/>
        <v/>
      </c>
      <c r="F196" s="46" t="str">
        <f t="shared" si="42"/>
        <v/>
      </c>
      <c r="G196" s="63" t="str">
        <f t="shared" si="41"/>
        <v/>
      </c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spans="1:25" s="64" customFormat="1" x14ac:dyDescent="0.4">
      <c r="A197" s="46" t="str">
        <f>IF(B197&lt;&gt;"",COUNTA($B$35:B197),"")</f>
        <v/>
      </c>
      <c r="B197" s="30"/>
      <c r="C197" s="30"/>
      <c r="D197" s="62" t="str">
        <f t="shared" si="44"/>
        <v/>
      </c>
      <c r="E197" s="46" t="str">
        <f t="shared" si="43"/>
        <v/>
      </c>
      <c r="F197" s="46" t="str">
        <f t="shared" si="42"/>
        <v/>
      </c>
      <c r="G197" s="63" t="str">
        <f t="shared" si="41"/>
        <v/>
      </c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spans="1:25" s="64" customFormat="1" x14ac:dyDescent="0.4">
      <c r="A198" s="46" t="str">
        <f>IF(B198&lt;&gt;"",COUNTA($B$35:B198),"")</f>
        <v/>
      </c>
      <c r="B198" s="30"/>
      <c r="C198" s="30"/>
      <c r="D198" s="62" t="str">
        <f t="shared" si="44"/>
        <v/>
      </c>
      <c r="E198" s="46" t="str">
        <f t="shared" si="43"/>
        <v/>
      </c>
      <c r="F198" s="46" t="str">
        <f t="shared" si="42"/>
        <v/>
      </c>
      <c r="G198" s="63" t="str">
        <f t="shared" si="41"/>
        <v/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spans="1:25" s="64" customFormat="1" x14ac:dyDescent="0.4">
      <c r="A199" s="46" t="str">
        <f>IF(B199&lt;&gt;"",COUNTA($B$35:B199),"")</f>
        <v/>
      </c>
      <c r="B199" s="30"/>
      <c r="C199" s="30"/>
      <c r="D199" s="62" t="str">
        <f t="shared" si="44"/>
        <v/>
      </c>
      <c r="E199" s="46" t="str">
        <f t="shared" si="43"/>
        <v/>
      </c>
      <c r="F199" s="46" t="str">
        <f t="shared" si="42"/>
        <v/>
      </c>
      <c r="G199" s="63" t="str">
        <f t="shared" si="41"/>
        <v/>
      </c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spans="1:25" s="64" customFormat="1" x14ac:dyDescent="0.4">
      <c r="A200" s="46" t="str">
        <f>IF(B200&lt;&gt;"",COUNTA($B$35:B200),"")</f>
        <v/>
      </c>
      <c r="B200" s="30"/>
      <c r="C200" s="30"/>
      <c r="D200" s="62" t="str">
        <f t="shared" si="44"/>
        <v/>
      </c>
      <c r="E200" s="46" t="str">
        <f t="shared" si="43"/>
        <v/>
      </c>
      <c r="F200" s="46" t="str">
        <f t="shared" si="42"/>
        <v/>
      </c>
      <c r="G200" s="63" t="str">
        <f t="shared" si="41"/>
        <v/>
      </c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spans="1:25" s="64" customFormat="1" x14ac:dyDescent="0.4">
      <c r="A201" s="46" t="str">
        <f>IF(B201&lt;&gt;"",COUNTA($B$35:B201),"")</f>
        <v/>
      </c>
      <c r="B201" s="30"/>
      <c r="C201" s="30"/>
      <c r="D201" s="62" t="str">
        <f t="shared" si="44"/>
        <v/>
      </c>
      <c r="E201" s="46" t="str">
        <f t="shared" ref="E201:E234" si="45">IF(ISBLANK(B201),"",IF(OR(I201&lt;18,K201&lt;18,M201&lt;18,O201&lt;18,Q201&lt;18,S201&lt;18,U201&lt;18,W201&lt;18),"FAIL","PASS"))</f>
        <v/>
      </c>
      <c r="F201" s="46" t="str">
        <f t="shared" si="42"/>
        <v/>
      </c>
      <c r="G201" s="63" t="str">
        <f t="shared" si="41"/>
        <v/>
      </c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spans="1:25" s="64" customFormat="1" x14ac:dyDescent="0.4">
      <c r="A202" s="46" t="str">
        <f>IF(B202&lt;&gt;"",COUNTA($B$35:B202),"")</f>
        <v/>
      </c>
      <c r="B202" s="30"/>
      <c r="C202" s="30"/>
      <c r="D202" s="62" t="str">
        <f t="shared" si="44"/>
        <v/>
      </c>
      <c r="E202" s="46" t="str">
        <f t="shared" si="45"/>
        <v/>
      </c>
      <c r="F202" s="46" t="str">
        <f t="shared" si="42"/>
        <v/>
      </c>
      <c r="G202" s="63" t="str">
        <f t="shared" si="41"/>
        <v/>
      </c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spans="1:25" s="64" customFormat="1" x14ac:dyDescent="0.4">
      <c r="A203" s="46" t="str">
        <f>IF(B203&lt;&gt;"",COUNTA($B$35:B203),"")</f>
        <v/>
      </c>
      <c r="B203" s="30"/>
      <c r="C203" s="30"/>
      <c r="D203" s="62" t="str">
        <f t="shared" si="44"/>
        <v/>
      </c>
      <c r="E203" s="46" t="str">
        <f t="shared" si="45"/>
        <v/>
      </c>
      <c r="F203" s="46" t="str">
        <f t="shared" si="42"/>
        <v/>
      </c>
      <c r="G203" s="63" t="str">
        <f t="shared" si="41"/>
        <v/>
      </c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spans="1:25" s="64" customFormat="1" x14ac:dyDescent="0.4">
      <c r="A204" s="46" t="str">
        <f>IF(B204&lt;&gt;"",COUNTA($B$35:B204),"")</f>
        <v/>
      </c>
      <c r="B204" s="30"/>
      <c r="C204" s="30"/>
      <c r="D204" s="62" t="str">
        <f t="shared" si="44"/>
        <v/>
      </c>
      <c r="E204" s="46" t="str">
        <f t="shared" si="45"/>
        <v/>
      </c>
      <c r="F204" s="46" t="str">
        <f t="shared" si="42"/>
        <v/>
      </c>
      <c r="G204" s="63" t="str">
        <f t="shared" si="41"/>
        <v/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spans="1:25" s="64" customFormat="1" x14ac:dyDescent="0.4">
      <c r="A205" s="46" t="str">
        <f>IF(B205&lt;&gt;"",COUNTA($B$35:B205),"")</f>
        <v/>
      </c>
      <c r="B205" s="30"/>
      <c r="C205" s="30"/>
      <c r="D205" s="62" t="str">
        <f t="shared" si="44"/>
        <v/>
      </c>
      <c r="E205" s="46" t="str">
        <f t="shared" si="45"/>
        <v/>
      </c>
      <c r="F205" s="46" t="str">
        <f t="shared" si="42"/>
        <v/>
      </c>
      <c r="G205" s="63" t="str">
        <f t="shared" si="41"/>
        <v/>
      </c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spans="1:25" s="64" customFormat="1" x14ac:dyDescent="0.4">
      <c r="A206" s="46" t="str">
        <f>IF(B206&lt;&gt;"",COUNTA($B$35:B206),"")</f>
        <v/>
      </c>
      <c r="B206" s="30"/>
      <c r="C206" s="30"/>
      <c r="D206" s="62" t="str">
        <f t="shared" si="44"/>
        <v/>
      </c>
      <c r="E206" s="46" t="str">
        <f t="shared" si="45"/>
        <v/>
      </c>
      <c r="F206" s="46" t="str">
        <f t="shared" si="42"/>
        <v/>
      </c>
      <c r="G206" s="63" t="str">
        <f t="shared" si="41"/>
        <v/>
      </c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spans="1:25" s="64" customFormat="1" x14ac:dyDescent="0.4">
      <c r="A207" s="46" t="str">
        <f>IF(B207&lt;&gt;"",COUNTA($B$35:B207),"")</f>
        <v/>
      </c>
      <c r="B207" s="30"/>
      <c r="C207" s="30"/>
      <c r="D207" s="62" t="str">
        <f t="shared" si="44"/>
        <v/>
      </c>
      <c r="E207" s="46" t="str">
        <f t="shared" si="45"/>
        <v/>
      </c>
      <c r="F207" s="46" t="str">
        <f t="shared" si="42"/>
        <v/>
      </c>
      <c r="G207" s="63" t="str">
        <f t="shared" si="41"/>
        <v/>
      </c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spans="1:25" s="64" customFormat="1" x14ac:dyDescent="0.4">
      <c r="A208" s="46" t="str">
        <f>IF(B208&lt;&gt;"",COUNTA($B$35:B208),"")</f>
        <v/>
      </c>
      <c r="B208" s="30"/>
      <c r="C208" s="30"/>
      <c r="D208" s="62" t="str">
        <f t="shared" si="44"/>
        <v/>
      </c>
      <c r="E208" s="46" t="str">
        <f t="shared" si="45"/>
        <v/>
      </c>
      <c r="F208" s="46" t="str">
        <f t="shared" si="42"/>
        <v/>
      </c>
      <c r="G208" s="63" t="str">
        <f t="shared" si="41"/>
        <v/>
      </c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spans="1:25" s="64" customFormat="1" x14ac:dyDescent="0.4">
      <c r="A209" s="46" t="str">
        <f>IF(B209&lt;&gt;"",COUNTA($B$35:B209),"")</f>
        <v/>
      </c>
      <c r="B209" s="30"/>
      <c r="C209" s="30"/>
      <c r="D209" s="62" t="str">
        <f t="shared" si="44"/>
        <v/>
      </c>
      <c r="E209" s="46" t="str">
        <f t="shared" si="45"/>
        <v/>
      </c>
      <c r="F209" s="46" t="str">
        <f t="shared" si="42"/>
        <v/>
      </c>
      <c r="G209" s="63" t="str">
        <f t="shared" si="41"/>
        <v/>
      </c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spans="1:25" s="64" customFormat="1" x14ac:dyDescent="0.4">
      <c r="A210" s="46" t="str">
        <f>IF(B210&lt;&gt;"",COUNTA($B$35:B210),"")</f>
        <v/>
      </c>
      <c r="B210" s="30"/>
      <c r="C210" s="30"/>
      <c r="D210" s="62" t="str">
        <f t="shared" si="44"/>
        <v/>
      </c>
      <c r="E210" s="46" t="str">
        <f t="shared" si="45"/>
        <v/>
      </c>
      <c r="F210" s="46" t="str">
        <f t="shared" si="42"/>
        <v/>
      </c>
      <c r="G210" s="63" t="str">
        <f t="shared" si="41"/>
        <v/>
      </c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spans="1:25" s="64" customFormat="1" x14ac:dyDescent="0.4">
      <c r="A211" s="46" t="str">
        <f>IF(B211&lt;&gt;"",COUNTA($B$35:B211),"")</f>
        <v/>
      </c>
      <c r="B211" s="30"/>
      <c r="C211" s="30"/>
      <c r="D211" s="62" t="str">
        <f t="shared" si="44"/>
        <v/>
      </c>
      <c r="E211" s="46" t="str">
        <f t="shared" si="45"/>
        <v/>
      </c>
      <c r="F211" s="46" t="str">
        <f t="shared" si="42"/>
        <v/>
      </c>
      <c r="G211" s="63" t="str">
        <f t="shared" si="41"/>
        <v/>
      </c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spans="1:25" s="64" customFormat="1" x14ac:dyDescent="0.4">
      <c r="A212" s="46" t="str">
        <f>IF(B212&lt;&gt;"",COUNTA($B$35:B212),"")</f>
        <v/>
      </c>
      <c r="B212" s="30"/>
      <c r="C212" s="30"/>
      <c r="D212" s="62" t="str">
        <f t="shared" si="44"/>
        <v/>
      </c>
      <c r="E212" s="46" t="str">
        <f t="shared" si="45"/>
        <v/>
      </c>
      <c r="F212" s="46" t="str">
        <f t="shared" si="42"/>
        <v/>
      </c>
      <c r="G212" s="63" t="str">
        <f t="shared" si="41"/>
        <v/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spans="1:25" s="64" customFormat="1" x14ac:dyDescent="0.4">
      <c r="A213" s="46" t="str">
        <f>IF(B213&lt;&gt;"",COUNTA($B$35:B213),"")</f>
        <v/>
      </c>
      <c r="B213" s="30"/>
      <c r="C213" s="30"/>
      <c r="D213" s="62" t="str">
        <f t="shared" si="44"/>
        <v/>
      </c>
      <c r="E213" s="46" t="str">
        <f t="shared" si="45"/>
        <v/>
      </c>
      <c r="F213" s="46" t="str">
        <f t="shared" si="42"/>
        <v/>
      </c>
      <c r="G213" s="63" t="str">
        <f t="shared" si="41"/>
        <v/>
      </c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spans="1:25" s="64" customFormat="1" x14ac:dyDescent="0.4">
      <c r="A214" s="46" t="str">
        <f>IF(B214&lt;&gt;"",COUNTA($B$35:B214),"")</f>
        <v/>
      </c>
      <c r="B214" s="30"/>
      <c r="C214" s="30"/>
      <c r="D214" s="62" t="str">
        <f t="shared" si="44"/>
        <v/>
      </c>
      <c r="E214" s="46" t="str">
        <f t="shared" si="45"/>
        <v/>
      </c>
      <c r="F214" s="46" t="str">
        <f t="shared" si="42"/>
        <v/>
      </c>
      <c r="G214" s="63" t="str">
        <f t="shared" si="41"/>
        <v/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spans="1:25" s="64" customFormat="1" x14ac:dyDescent="0.4">
      <c r="A215" s="46" t="str">
        <f>IF(B215&lt;&gt;"",COUNTA($B$35:B215),"")</f>
        <v/>
      </c>
      <c r="B215" s="30"/>
      <c r="C215" s="30"/>
      <c r="D215" s="62" t="str">
        <f t="shared" si="44"/>
        <v/>
      </c>
      <c r="E215" s="46" t="str">
        <f t="shared" si="45"/>
        <v/>
      </c>
      <c r="F215" s="46" t="str">
        <f t="shared" si="42"/>
        <v/>
      </c>
      <c r="G215" s="63" t="str">
        <f t="shared" si="41"/>
        <v/>
      </c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spans="1:25" s="64" customFormat="1" x14ac:dyDescent="0.4">
      <c r="A216" s="46" t="str">
        <f>IF(B216&lt;&gt;"",COUNTA($B$35:B216),"")</f>
        <v/>
      </c>
      <c r="B216" s="30"/>
      <c r="C216" s="30"/>
      <c r="D216" s="62" t="str">
        <f t="shared" si="44"/>
        <v/>
      </c>
      <c r="E216" s="46" t="str">
        <f t="shared" si="45"/>
        <v/>
      </c>
      <c r="F216" s="46" t="str">
        <f t="shared" si="42"/>
        <v/>
      </c>
      <c r="G216" s="63" t="str">
        <f t="shared" si="41"/>
        <v/>
      </c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spans="1:25" s="64" customFormat="1" x14ac:dyDescent="0.4">
      <c r="A217" s="46" t="str">
        <f>IF(B217&lt;&gt;"",COUNTA($B$35:B217),"")</f>
        <v/>
      </c>
      <c r="B217" s="30"/>
      <c r="C217" s="30"/>
      <c r="D217" s="62" t="str">
        <f t="shared" si="44"/>
        <v/>
      </c>
      <c r="E217" s="46" t="str">
        <f t="shared" si="45"/>
        <v/>
      </c>
      <c r="F217" s="46" t="str">
        <f t="shared" si="42"/>
        <v/>
      </c>
      <c r="G217" s="63" t="str">
        <f t="shared" si="41"/>
        <v/>
      </c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spans="1:25" s="64" customFormat="1" x14ac:dyDescent="0.4">
      <c r="A218" s="46" t="str">
        <f>IF(B218&lt;&gt;"",COUNTA($B$35:B218),"")</f>
        <v/>
      </c>
      <c r="B218" s="30"/>
      <c r="C218" s="30"/>
      <c r="D218" s="62" t="str">
        <f t="shared" si="44"/>
        <v/>
      </c>
      <c r="E218" s="46" t="str">
        <f t="shared" si="45"/>
        <v/>
      </c>
      <c r="F218" s="46" t="str">
        <f t="shared" si="42"/>
        <v/>
      </c>
      <c r="G218" s="63" t="str">
        <f t="shared" si="41"/>
        <v/>
      </c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spans="1:25" s="64" customFormat="1" x14ac:dyDescent="0.4">
      <c r="A219" s="46" t="str">
        <f>IF(B219&lt;&gt;"",COUNTA($B$35:B219),"")</f>
        <v/>
      </c>
      <c r="B219" s="30"/>
      <c r="C219" s="30"/>
      <c r="D219" s="62" t="str">
        <f t="shared" si="44"/>
        <v/>
      </c>
      <c r="E219" s="46" t="str">
        <f t="shared" si="45"/>
        <v/>
      </c>
      <c r="F219" s="46" t="str">
        <f t="shared" si="42"/>
        <v/>
      </c>
      <c r="G219" s="63" t="str">
        <f t="shared" si="41"/>
        <v/>
      </c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spans="1:25" s="64" customFormat="1" x14ac:dyDescent="0.4">
      <c r="A220" s="46" t="str">
        <f>IF(B220&lt;&gt;"",COUNTA($B$35:B220),"")</f>
        <v/>
      </c>
      <c r="B220" s="30"/>
      <c r="C220" s="30"/>
      <c r="D220" s="62" t="str">
        <f t="shared" si="44"/>
        <v/>
      </c>
      <c r="E220" s="46" t="str">
        <f t="shared" si="45"/>
        <v/>
      </c>
      <c r="F220" s="46" t="str">
        <f t="shared" si="42"/>
        <v/>
      </c>
      <c r="G220" s="63" t="str">
        <f t="shared" si="41"/>
        <v/>
      </c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spans="1:25" s="64" customFormat="1" x14ac:dyDescent="0.4">
      <c r="A221" s="46" t="str">
        <f>IF(B221&lt;&gt;"",COUNTA($B$35:B221),"")</f>
        <v/>
      </c>
      <c r="B221" s="30"/>
      <c r="C221" s="30"/>
      <c r="D221" s="62" t="str">
        <f t="shared" si="44"/>
        <v/>
      </c>
      <c r="E221" s="46" t="str">
        <f t="shared" si="45"/>
        <v/>
      </c>
      <c r="F221" s="46" t="str">
        <f t="shared" si="42"/>
        <v/>
      </c>
      <c r="G221" s="63" t="str">
        <f t="shared" si="41"/>
        <v/>
      </c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spans="1:25" s="64" customFormat="1" x14ac:dyDescent="0.4">
      <c r="A222" s="46" t="str">
        <f>IF(B222&lt;&gt;"",COUNTA($B$35:B222),"")</f>
        <v/>
      </c>
      <c r="B222" s="30"/>
      <c r="C222" s="30"/>
      <c r="D222" s="62" t="str">
        <f t="shared" si="44"/>
        <v/>
      </c>
      <c r="E222" s="46" t="str">
        <f t="shared" si="45"/>
        <v/>
      </c>
      <c r="F222" s="46" t="str">
        <f t="shared" si="42"/>
        <v/>
      </c>
      <c r="G222" s="63" t="str">
        <f t="shared" si="41"/>
        <v/>
      </c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spans="1:25" s="64" customFormat="1" x14ac:dyDescent="0.4">
      <c r="A223" s="46" t="str">
        <f>IF(B223&lt;&gt;"",COUNTA($B$35:B223),"")</f>
        <v/>
      </c>
      <c r="B223" s="30"/>
      <c r="C223" s="30"/>
      <c r="D223" s="62" t="str">
        <f t="shared" si="44"/>
        <v/>
      </c>
      <c r="E223" s="46" t="str">
        <f t="shared" si="45"/>
        <v/>
      </c>
      <c r="F223" s="46" t="str">
        <f t="shared" si="42"/>
        <v/>
      </c>
      <c r="G223" s="63" t="str">
        <f t="shared" si="41"/>
        <v/>
      </c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spans="1:25" s="64" customFormat="1" x14ac:dyDescent="0.4">
      <c r="A224" s="46" t="str">
        <f>IF(B224&lt;&gt;"",COUNTA($B$35:B224),"")</f>
        <v/>
      </c>
      <c r="B224" s="30"/>
      <c r="C224" s="30"/>
      <c r="D224" s="62" t="str">
        <f t="shared" si="44"/>
        <v/>
      </c>
      <c r="E224" s="46" t="str">
        <f t="shared" si="45"/>
        <v/>
      </c>
      <c r="F224" s="46" t="str">
        <f t="shared" si="42"/>
        <v/>
      </c>
      <c r="G224" s="63" t="str">
        <f t="shared" si="41"/>
        <v/>
      </c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spans="1:25" s="64" customFormat="1" x14ac:dyDescent="0.4">
      <c r="A225" s="46" t="str">
        <f>IF(B225&lt;&gt;"",COUNTA($B$35:B225),"")</f>
        <v/>
      </c>
      <c r="B225" s="30"/>
      <c r="C225" s="30"/>
      <c r="D225" s="62" t="str">
        <f t="shared" si="44"/>
        <v/>
      </c>
      <c r="E225" s="46" t="str">
        <f t="shared" si="45"/>
        <v/>
      </c>
      <c r="F225" s="46" t="str">
        <f t="shared" si="42"/>
        <v/>
      </c>
      <c r="G225" s="63" t="str">
        <f t="shared" si="41"/>
        <v/>
      </c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spans="1:25" s="64" customFormat="1" x14ac:dyDescent="0.4">
      <c r="A226" s="46" t="str">
        <f>IF(B226&lt;&gt;"",COUNTA($B$35:B226),"")</f>
        <v/>
      </c>
      <c r="B226" s="30"/>
      <c r="C226" s="30"/>
      <c r="D226" s="62" t="str">
        <f t="shared" ref="D226:D234" si="46">IF(C226="","",(SUM(H226:W226)/D$31)*100)</f>
        <v/>
      </c>
      <c r="E226" s="46" t="str">
        <f t="shared" si="45"/>
        <v/>
      </c>
      <c r="F226" s="46" t="str">
        <f t="shared" si="42"/>
        <v/>
      </c>
      <c r="G226" s="63" t="str">
        <f t="shared" si="41"/>
        <v/>
      </c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spans="1:25" s="64" customFormat="1" x14ac:dyDescent="0.4">
      <c r="A227" s="46" t="str">
        <f>IF(B227&lt;&gt;"",COUNTA($B$35:B227),"")</f>
        <v/>
      </c>
      <c r="B227" s="30"/>
      <c r="C227" s="30"/>
      <c r="D227" s="62" t="str">
        <f t="shared" si="46"/>
        <v/>
      </c>
      <c r="E227" s="46" t="str">
        <f t="shared" si="45"/>
        <v/>
      </c>
      <c r="F227" s="46" t="str">
        <f t="shared" si="42"/>
        <v/>
      </c>
      <c r="G227" s="63" t="str">
        <f t="shared" ref="G227:G234" si="47">IF(D227 = "", "", IF(D227 &gt;= 70, "FCD", IF(D227 &gt;= 60, "FC", IF(D227 &gt;= 35, "SC", ""))))</f>
        <v/>
      </c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spans="1:25" s="64" customFormat="1" x14ac:dyDescent="0.4">
      <c r="A228" s="46" t="str">
        <f>IF(B228&lt;&gt;"",COUNTA($B$35:B228),"")</f>
        <v/>
      </c>
      <c r="B228" s="30"/>
      <c r="C228" s="30"/>
      <c r="D228" s="62" t="str">
        <f t="shared" si="46"/>
        <v/>
      </c>
      <c r="E228" s="46" t="str">
        <f t="shared" si="45"/>
        <v/>
      </c>
      <c r="F228" s="46" t="str">
        <f t="shared" si="42"/>
        <v/>
      </c>
      <c r="G228" s="63" t="str">
        <f t="shared" si="47"/>
        <v/>
      </c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spans="1:25" s="64" customFormat="1" x14ac:dyDescent="0.4">
      <c r="A229" s="46" t="str">
        <f>IF(B229&lt;&gt;"",COUNTA($B$35:B229),"")</f>
        <v/>
      </c>
      <c r="B229" s="30"/>
      <c r="C229" s="30"/>
      <c r="D229" s="62" t="str">
        <f t="shared" si="46"/>
        <v/>
      </c>
      <c r="E229" s="46" t="str">
        <f t="shared" si="45"/>
        <v/>
      </c>
      <c r="F229" s="46" t="str">
        <f t="shared" ref="F229:F234" si="48">IF(E229="Pass",G229, IF(E229="FAIL","FAIL",""))</f>
        <v/>
      </c>
      <c r="G229" s="63" t="str">
        <f t="shared" si="47"/>
        <v/>
      </c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spans="1:25" s="64" customFormat="1" x14ac:dyDescent="0.4">
      <c r="A230" s="46" t="str">
        <f>IF(B230&lt;&gt;"",COUNTA($B$35:B230),"")</f>
        <v/>
      </c>
      <c r="B230" s="30"/>
      <c r="C230" s="30"/>
      <c r="D230" s="62" t="str">
        <f t="shared" si="46"/>
        <v/>
      </c>
      <c r="E230" s="46" t="str">
        <f t="shared" si="45"/>
        <v/>
      </c>
      <c r="F230" s="46" t="str">
        <f t="shared" si="48"/>
        <v/>
      </c>
      <c r="G230" s="63" t="str">
        <f t="shared" si="47"/>
        <v/>
      </c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spans="1:25" s="64" customFormat="1" x14ac:dyDescent="0.4">
      <c r="A231" s="46" t="str">
        <f>IF(B231&lt;&gt;"",COUNTA($B$35:B231),"")</f>
        <v/>
      </c>
      <c r="B231" s="30"/>
      <c r="C231" s="30"/>
      <c r="D231" s="62" t="str">
        <f t="shared" si="46"/>
        <v/>
      </c>
      <c r="E231" s="46" t="str">
        <f t="shared" si="45"/>
        <v/>
      </c>
      <c r="F231" s="46" t="str">
        <f t="shared" si="48"/>
        <v/>
      </c>
      <c r="G231" s="63" t="str">
        <f t="shared" si="47"/>
        <v/>
      </c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spans="1:25" s="64" customFormat="1" x14ac:dyDescent="0.4">
      <c r="A232" s="46" t="str">
        <f>IF(B232&lt;&gt;"",COUNTA($B$35:B232),"")</f>
        <v/>
      </c>
      <c r="B232" s="30"/>
      <c r="C232" s="30"/>
      <c r="D232" s="62" t="str">
        <f t="shared" si="46"/>
        <v/>
      </c>
      <c r="E232" s="46" t="str">
        <f t="shared" si="45"/>
        <v/>
      </c>
      <c r="F232" s="46" t="str">
        <f t="shared" si="48"/>
        <v/>
      </c>
      <c r="G232" s="63" t="str">
        <f t="shared" si="47"/>
        <v/>
      </c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spans="1:25" s="64" customFormat="1" x14ac:dyDescent="0.4">
      <c r="A233" s="46" t="str">
        <f>IF(B233&lt;&gt;"",COUNTA($B$35:B233),"")</f>
        <v/>
      </c>
      <c r="B233" s="30"/>
      <c r="C233" s="30"/>
      <c r="D233" s="62" t="str">
        <f t="shared" si="46"/>
        <v/>
      </c>
      <c r="E233" s="46" t="str">
        <f t="shared" si="45"/>
        <v/>
      </c>
      <c r="F233" s="46" t="str">
        <f t="shared" si="48"/>
        <v/>
      </c>
      <c r="G233" s="63" t="str">
        <f t="shared" si="47"/>
        <v/>
      </c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spans="1:25" s="64" customFormat="1" x14ac:dyDescent="0.4">
      <c r="A234" s="46" t="str">
        <f>IF(B234&lt;&gt;"",COUNTA($B$35:B234),"")</f>
        <v/>
      </c>
      <c r="B234" s="30"/>
      <c r="C234" s="30"/>
      <c r="D234" s="62" t="str">
        <f t="shared" si="46"/>
        <v/>
      </c>
      <c r="E234" s="46" t="str">
        <f t="shared" si="45"/>
        <v/>
      </c>
      <c r="F234" s="46" t="str">
        <f t="shared" si="48"/>
        <v/>
      </c>
      <c r="G234" s="63" t="str">
        <f t="shared" si="47"/>
        <v/>
      </c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spans="1:25" x14ac:dyDescent="0.4">
      <c r="A235" s="37"/>
      <c r="B235" s="15"/>
      <c r="C235" s="15"/>
      <c r="D235" s="15"/>
      <c r="E235" s="15"/>
      <c r="F235" s="15"/>
      <c r="G235" s="15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x14ac:dyDescent="0.4">
      <c r="A236" s="37"/>
      <c r="B236" s="15"/>
      <c r="C236" s="15"/>
      <c r="D236" s="15"/>
      <c r="E236" s="15"/>
      <c r="F236" s="15"/>
      <c r="G236" s="15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4">
      <c r="A237" s="37"/>
      <c r="B237" s="15"/>
      <c r="C237" s="15"/>
      <c r="D237" s="15"/>
      <c r="E237" s="15"/>
      <c r="F237" s="15"/>
      <c r="G237" s="15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x14ac:dyDescent="0.4">
      <c r="A238" s="37"/>
      <c r="B238" s="15"/>
      <c r="C238" s="15"/>
      <c r="D238" s="15"/>
      <c r="E238" s="15"/>
      <c r="F238" s="15"/>
      <c r="G238" s="15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x14ac:dyDescent="0.4">
      <c r="A239" s="37"/>
      <c r="B239" s="15"/>
      <c r="C239" s="15"/>
      <c r="D239" s="15"/>
      <c r="E239" s="15"/>
      <c r="F239" s="15"/>
      <c r="G239" s="15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x14ac:dyDescent="0.4">
      <c r="A240" s="37"/>
      <c r="B240" s="15"/>
      <c r="C240" s="15"/>
      <c r="D240" s="15"/>
      <c r="E240" s="15"/>
      <c r="F240" s="15"/>
      <c r="G240" s="15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x14ac:dyDescent="0.4">
      <c r="A241" s="37"/>
      <c r="B241" s="15"/>
      <c r="C241" s="15"/>
      <c r="D241" s="15"/>
      <c r="E241" s="15"/>
      <c r="F241" s="15"/>
      <c r="G241" s="15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x14ac:dyDescent="0.4">
      <c r="A242" s="37"/>
      <c r="B242" s="15"/>
      <c r="C242" s="15"/>
      <c r="D242" s="15"/>
      <c r="E242" s="15"/>
      <c r="F242" s="15"/>
      <c r="G242" s="15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x14ac:dyDescent="0.4">
      <c r="A243" s="37"/>
      <c r="B243" s="15"/>
      <c r="C243" s="15"/>
      <c r="D243" s="15"/>
      <c r="E243" s="15"/>
      <c r="F243" s="15"/>
      <c r="G243" s="15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x14ac:dyDescent="0.4">
      <c r="A244" s="37"/>
      <c r="B244" s="15"/>
      <c r="C244" s="15"/>
      <c r="D244" s="15"/>
      <c r="E244" s="15"/>
      <c r="F244" s="15"/>
      <c r="G244" s="15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x14ac:dyDescent="0.4">
      <c r="A245" s="37"/>
      <c r="B245" s="15"/>
      <c r="C245" s="15"/>
      <c r="D245" s="15"/>
      <c r="E245" s="15"/>
      <c r="F245" s="15"/>
      <c r="G245" s="15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x14ac:dyDescent="0.4">
      <c r="A246" s="37"/>
      <c r="B246" s="15"/>
      <c r="C246" s="15"/>
      <c r="D246" s="15"/>
      <c r="E246" s="15"/>
      <c r="F246" s="15"/>
      <c r="G246" s="15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x14ac:dyDescent="0.4">
      <c r="A247" s="37"/>
      <c r="B247" s="15"/>
      <c r="C247" s="15"/>
      <c r="D247" s="15"/>
      <c r="E247" s="15"/>
      <c r="F247" s="15"/>
      <c r="G247" s="15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x14ac:dyDescent="0.4">
      <c r="A248" s="37"/>
      <c r="B248" s="15"/>
      <c r="C248" s="15"/>
      <c r="D248" s="15"/>
      <c r="E248" s="15"/>
      <c r="F248" s="15"/>
      <c r="G248" s="15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x14ac:dyDescent="0.4">
      <c r="A249" s="37"/>
      <c r="B249" s="15"/>
      <c r="C249" s="15"/>
      <c r="D249" s="15"/>
      <c r="E249" s="15"/>
      <c r="F249" s="15"/>
      <c r="G249" s="15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x14ac:dyDescent="0.4">
      <c r="A250" s="37"/>
      <c r="B250" s="15"/>
      <c r="C250" s="15"/>
      <c r="D250" s="15"/>
      <c r="E250" s="15"/>
      <c r="F250" s="15"/>
      <c r="G250" s="15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x14ac:dyDescent="0.4">
      <c r="A251" s="15"/>
      <c r="B251" s="15"/>
      <c r="C251" s="15"/>
      <c r="D251" s="15"/>
      <c r="E251" s="15"/>
      <c r="F251" s="15"/>
      <c r="G251" s="15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x14ac:dyDescent="0.4">
      <c r="A252" s="15"/>
      <c r="B252" s="15"/>
      <c r="C252" s="15"/>
      <c r="D252" s="15"/>
      <c r="E252" s="15"/>
      <c r="F252" s="15"/>
      <c r="G252" s="15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x14ac:dyDescent="0.4">
      <c r="A253" s="15"/>
      <c r="B253" s="15"/>
      <c r="C253" s="15"/>
      <c r="D253" s="15"/>
      <c r="E253" s="15"/>
      <c r="F253" s="15"/>
      <c r="G253" s="15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x14ac:dyDescent="0.4">
      <c r="A254" s="15"/>
      <c r="B254" s="15"/>
      <c r="C254" s="15"/>
      <c r="D254" s="15"/>
      <c r="E254" s="15"/>
      <c r="F254" s="15"/>
      <c r="G254" s="15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x14ac:dyDescent="0.4">
      <c r="A255" s="15"/>
      <c r="B255" s="15"/>
      <c r="C255" s="15"/>
      <c r="D255" s="15"/>
      <c r="E255" s="15"/>
      <c r="F255" s="15"/>
      <c r="G255" s="15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x14ac:dyDescent="0.4">
      <c r="A256" s="15"/>
      <c r="B256" s="15"/>
      <c r="C256" s="15"/>
      <c r="D256" s="15"/>
      <c r="E256" s="15"/>
      <c r="F256" s="15"/>
      <c r="G256" s="15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x14ac:dyDescent="0.4">
      <c r="A257" s="15"/>
      <c r="B257" s="15"/>
      <c r="C257" s="15"/>
      <c r="D257" s="15"/>
      <c r="E257" s="15"/>
      <c r="F257" s="15"/>
      <c r="G257" s="15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x14ac:dyDescent="0.4">
      <c r="A258" s="15"/>
      <c r="B258" s="15"/>
      <c r="C258" s="15"/>
      <c r="D258" s="15"/>
      <c r="E258" s="15"/>
      <c r="F258" s="15"/>
      <c r="G258" s="15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x14ac:dyDescent="0.4">
      <c r="A259" s="15"/>
      <c r="B259" s="15"/>
      <c r="C259" s="15"/>
      <c r="D259" s="15"/>
      <c r="E259" s="15"/>
      <c r="F259" s="15"/>
      <c r="G259" s="15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x14ac:dyDescent="0.4">
      <c r="A260" s="15"/>
      <c r="B260" s="15"/>
      <c r="C260" s="15"/>
      <c r="D260" s="15"/>
      <c r="E260" s="15"/>
      <c r="F260" s="15"/>
      <c r="G260" s="15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x14ac:dyDescent="0.4">
      <c r="A261" s="15"/>
      <c r="B261" s="15"/>
      <c r="C261" s="15"/>
      <c r="D261" s="15"/>
      <c r="E261" s="15"/>
      <c r="F261" s="15"/>
      <c r="G261" s="15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x14ac:dyDescent="0.4">
      <c r="A262" s="15"/>
      <c r="B262" s="15"/>
      <c r="C262" s="15"/>
      <c r="D262" s="15"/>
      <c r="E262" s="15"/>
      <c r="F262" s="15"/>
      <c r="G262" s="15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x14ac:dyDescent="0.4">
      <c r="A263" s="15"/>
      <c r="B263" s="15"/>
      <c r="C263" s="15"/>
      <c r="D263" s="15"/>
      <c r="E263" s="15"/>
      <c r="F263" s="15"/>
      <c r="G263" s="15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x14ac:dyDescent="0.4">
      <c r="A264" s="15"/>
      <c r="B264" s="15"/>
      <c r="C264" s="15"/>
      <c r="D264" s="15"/>
      <c r="E264" s="15"/>
      <c r="F264" s="15"/>
      <c r="G264" s="15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x14ac:dyDescent="0.4">
      <c r="A265" s="15"/>
      <c r="B265" s="15"/>
      <c r="C265" s="15"/>
      <c r="D265" s="15"/>
      <c r="E265" s="15"/>
      <c r="F265" s="15"/>
      <c r="G265" s="15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x14ac:dyDescent="0.4">
      <c r="A266" s="15"/>
      <c r="B266" s="15"/>
      <c r="C266" s="15"/>
      <c r="D266" s="15"/>
      <c r="E266" s="15"/>
      <c r="F266" s="15"/>
      <c r="G266" s="15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x14ac:dyDescent="0.4">
      <c r="A267" s="15"/>
      <c r="B267" s="15"/>
      <c r="C267" s="15"/>
      <c r="D267" s="15"/>
      <c r="E267" s="15"/>
      <c r="F267" s="15"/>
      <c r="G267" s="15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x14ac:dyDescent="0.4">
      <c r="A268" s="15"/>
      <c r="B268" s="15"/>
      <c r="C268" s="15"/>
      <c r="D268" s="15"/>
      <c r="E268" s="15"/>
      <c r="F268" s="15"/>
      <c r="G268" s="15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x14ac:dyDescent="0.4">
      <c r="A269" s="15"/>
      <c r="B269" s="15"/>
      <c r="C269" s="15"/>
      <c r="D269" s="15"/>
      <c r="E269" s="15"/>
      <c r="F269" s="15"/>
      <c r="G269" s="15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x14ac:dyDescent="0.4">
      <c r="A270" s="15"/>
      <c r="B270" s="15"/>
      <c r="C270" s="15"/>
      <c r="D270" s="15"/>
      <c r="E270" s="15"/>
      <c r="F270" s="15"/>
      <c r="G270" s="15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x14ac:dyDescent="0.4">
      <c r="A271" s="15"/>
      <c r="B271" s="15"/>
      <c r="C271" s="15"/>
      <c r="D271" s="15"/>
      <c r="E271" s="15"/>
      <c r="F271" s="15"/>
      <c r="G271" s="15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x14ac:dyDescent="0.4">
      <c r="A272" s="15"/>
      <c r="B272" s="15"/>
      <c r="C272" s="15"/>
      <c r="D272" s="15"/>
      <c r="E272" s="15"/>
      <c r="F272" s="15"/>
      <c r="G272" s="15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x14ac:dyDescent="0.4">
      <c r="A273" s="15"/>
      <c r="B273" s="15"/>
      <c r="C273" s="15"/>
      <c r="D273" s="15"/>
      <c r="E273" s="15"/>
      <c r="F273" s="15"/>
      <c r="G273" s="15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x14ac:dyDescent="0.4">
      <c r="A274" s="15"/>
      <c r="B274" s="15"/>
      <c r="C274" s="15"/>
      <c r="D274" s="15"/>
      <c r="E274" s="15"/>
      <c r="F274" s="15"/>
      <c r="G274" s="15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x14ac:dyDescent="0.4">
      <c r="A275" s="15"/>
      <c r="B275" s="15"/>
      <c r="C275" s="15"/>
      <c r="D275" s="15"/>
      <c r="E275" s="15"/>
      <c r="F275" s="15"/>
      <c r="G275" s="15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x14ac:dyDescent="0.4">
      <c r="A276" s="15"/>
      <c r="B276" s="15"/>
      <c r="C276" s="15"/>
      <c r="D276" s="15"/>
      <c r="E276" s="15"/>
      <c r="F276" s="15"/>
      <c r="G276" s="15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x14ac:dyDescent="0.4">
      <c r="A277" s="15"/>
      <c r="B277" s="15"/>
      <c r="C277" s="15"/>
      <c r="D277" s="15"/>
      <c r="E277" s="15"/>
      <c r="F277" s="15"/>
      <c r="G277" s="15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x14ac:dyDescent="0.4">
      <c r="A278" s="15"/>
      <c r="B278" s="15"/>
      <c r="C278" s="15"/>
      <c r="D278" s="15"/>
      <c r="E278" s="15"/>
      <c r="F278" s="15"/>
      <c r="G278" s="15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x14ac:dyDescent="0.4">
      <c r="A279" s="15"/>
      <c r="B279" s="15"/>
      <c r="C279" s="15"/>
      <c r="D279" s="15"/>
      <c r="E279" s="15"/>
      <c r="F279" s="15"/>
      <c r="G279" s="15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x14ac:dyDescent="0.4">
      <c r="A280" s="15"/>
      <c r="B280" s="15"/>
      <c r="C280" s="15"/>
      <c r="D280" s="15"/>
      <c r="E280" s="15"/>
      <c r="F280" s="15"/>
      <c r="G280" s="15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x14ac:dyDescent="0.4">
      <c r="A281" s="15"/>
      <c r="B281" s="15"/>
      <c r="C281" s="15"/>
      <c r="D281" s="15"/>
      <c r="E281" s="15"/>
      <c r="F281" s="15"/>
      <c r="G281" s="15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x14ac:dyDescent="0.4">
      <c r="A282" s="15"/>
      <c r="B282" s="15"/>
      <c r="C282" s="15"/>
      <c r="D282" s="15"/>
      <c r="E282" s="15"/>
      <c r="F282" s="15"/>
      <c r="G282" s="15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x14ac:dyDescent="0.4">
      <c r="A283" s="15"/>
      <c r="B283" s="15"/>
      <c r="C283" s="15"/>
      <c r="D283" s="15"/>
      <c r="E283" s="15"/>
      <c r="F283" s="15"/>
      <c r="G283" s="15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x14ac:dyDescent="0.4">
      <c r="A284" s="15"/>
      <c r="B284" s="15"/>
      <c r="C284" s="15"/>
      <c r="D284" s="15"/>
      <c r="E284" s="15"/>
      <c r="F284" s="15"/>
      <c r="G284" s="15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x14ac:dyDescent="0.4">
      <c r="A285" s="15"/>
      <c r="B285" s="15"/>
      <c r="C285" s="15"/>
      <c r="D285" s="15"/>
      <c r="E285" s="15"/>
      <c r="F285" s="15"/>
      <c r="G285" s="15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x14ac:dyDescent="0.4">
      <c r="A286" s="15"/>
      <c r="B286" s="15"/>
      <c r="C286" s="15"/>
      <c r="D286" s="15"/>
      <c r="E286" s="15"/>
      <c r="F286" s="15"/>
      <c r="G286" s="15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x14ac:dyDescent="0.4">
      <c r="A287" s="15"/>
      <c r="B287" s="15"/>
      <c r="C287" s="15"/>
      <c r="D287" s="15"/>
      <c r="E287" s="15"/>
      <c r="F287" s="15"/>
      <c r="G287" s="15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x14ac:dyDescent="0.4">
      <c r="A288" s="15"/>
      <c r="B288" s="15"/>
      <c r="C288" s="15"/>
      <c r="D288" s="15"/>
      <c r="E288" s="15"/>
      <c r="F288" s="15"/>
      <c r="G288" s="15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x14ac:dyDescent="0.4">
      <c r="A289" s="15"/>
      <c r="B289" s="15"/>
      <c r="C289" s="15"/>
      <c r="D289" s="15"/>
      <c r="E289" s="15"/>
      <c r="F289" s="15"/>
      <c r="G289" s="15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x14ac:dyDescent="0.4">
      <c r="A290" s="15"/>
      <c r="B290" s="15"/>
      <c r="C290" s="15"/>
      <c r="D290" s="15"/>
      <c r="E290" s="15"/>
      <c r="F290" s="15"/>
      <c r="G290" s="15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x14ac:dyDescent="0.4">
      <c r="A291" s="15"/>
      <c r="B291" s="15"/>
      <c r="C291" s="15"/>
      <c r="D291" s="15"/>
      <c r="E291" s="15"/>
      <c r="F291" s="15"/>
      <c r="G291" s="15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x14ac:dyDescent="0.4">
      <c r="A292" s="15"/>
      <c r="B292" s="15"/>
      <c r="C292" s="15"/>
      <c r="D292" s="15"/>
      <c r="E292" s="15"/>
      <c r="F292" s="15"/>
      <c r="G292" s="15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x14ac:dyDescent="0.4">
      <c r="A293" s="15"/>
      <c r="B293" s="15"/>
      <c r="C293" s="15"/>
      <c r="D293" s="15"/>
      <c r="E293" s="15"/>
      <c r="F293" s="15"/>
      <c r="G293" s="15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x14ac:dyDescent="0.4">
      <c r="A294" s="15"/>
      <c r="B294" s="15"/>
      <c r="C294" s="15"/>
      <c r="D294" s="15"/>
      <c r="E294" s="15"/>
      <c r="F294" s="15"/>
      <c r="G294" s="15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x14ac:dyDescent="0.4">
      <c r="A295" s="15"/>
      <c r="B295" s="15"/>
      <c r="C295" s="15"/>
      <c r="D295" s="15"/>
      <c r="E295" s="15"/>
      <c r="F295" s="15"/>
      <c r="G295" s="15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x14ac:dyDescent="0.4">
      <c r="A296" s="15"/>
      <c r="B296" s="15"/>
      <c r="C296" s="15"/>
      <c r="D296" s="15"/>
      <c r="E296" s="15"/>
      <c r="F296" s="15"/>
      <c r="G296" s="15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x14ac:dyDescent="0.4">
      <c r="A297" s="15"/>
      <c r="B297" s="15"/>
      <c r="C297" s="15"/>
      <c r="D297" s="15"/>
      <c r="E297" s="15"/>
      <c r="F297" s="15"/>
      <c r="G297" s="15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x14ac:dyDescent="0.4">
      <c r="A298" s="15"/>
      <c r="B298" s="15"/>
      <c r="C298" s="15"/>
      <c r="D298" s="15"/>
      <c r="E298" s="15"/>
      <c r="F298" s="15"/>
      <c r="G298" s="15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x14ac:dyDescent="0.4">
      <c r="A299" s="15"/>
      <c r="B299" s="15"/>
      <c r="C299" s="15"/>
      <c r="D299" s="15"/>
      <c r="E299" s="15"/>
      <c r="F299" s="15"/>
      <c r="G299" s="15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x14ac:dyDescent="0.4">
      <c r="A300" s="15"/>
      <c r="B300" s="15"/>
      <c r="C300" s="15"/>
      <c r="D300" s="15"/>
      <c r="E300" s="15"/>
      <c r="F300" s="15"/>
      <c r="G300" s="15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x14ac:dyDescent="0.4">
      <c r="A301" s="15"/>
      <c r="B301" s="15"/>
      <c r="C301" s="15"/>
      <c r="D301" s="15"/>
      <c r="E301" s="15"/>
      <c r="F301" s="15"/>
      <c r="G301" s="15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x14ac:dyDescent="0.4">
      <c r="A302" s="15"/>
      <c r="B302" s="15"/>
      <c r="C302" s="15"/>
      <c r="D302" s="15"/>
      <c r="E302" s="15"/>
      <c r="F302" s="15"/>
      <c r="G302" s="15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x14ac:dyDescent="0.4">
      <c r="A303" s="15"/>
      <c r="B303" s="15"/>
      <c r="C303" s="15"/>
      <c r="D303" s="15"/>
      <c r="E303" s="15"/>
      <c r="F303" s="15"/>
      <c r="G303" s="15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x14ac:dyDescent="0.4">
      <c r="A304" s="15"/>
      <c r="B304" s="15"/>
      <c r="C304" s="15"/>
      <c r="D304" s="15"/>
      <c r="E304" s="15"/>
      <c r="F304" s="15"/>
      <c r="G304" s="15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x14ac:dyDescent="0.4">
      <c r="A305" s="15"/>
      <c r="B305" s="15"/>
      <c r="C305" s="15"/>
      <c r="D305" s="15"/>
      <c r="E305" s="15"/>
      <c r="F305" s="15"/>
      <c r="G305" s="15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x14ac:dyDescent="0.4">
      <c r="A306" s="15"/>
      <c r="B306" s="15"/>
      <c r="C306" s="15"/>
      <c r="D306" s="15"/>
      <c r="E306" s="15"/>
      <c r="F306" s="15"/>
      <c r="G306" s="15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x14ac:dyDescent="0.4">
      <c r="A307" s="15"/>
      <c r="B307" s="15"/>
      <c r="C307" s="15"/>
      <c r="D307" s="15"/>
      <c r="E307" s="15"/>
      <c r="F307" s="15"/>
      <c r="G307" s="15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x14ac:dyDescent="0.4">
      <c r="A308" s="15"/>
      <c r="B308" s="15"/>
      <c r="C308" s="15"/>
      <c r="D308" s="15"/>
      <c r="E308" s="15"/>
      <c r="F308" s="15"/>
      <c r="G308" s="15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x14ac:dyDescent="0.4">
      <c r="A309" s="15"/>
      <c r="B309" s="15"/>
      <c r="C309" s="15"/>
      <c r="D309" s="15"/>
      <c r="E309" s="15"/>
      <c r="F309" s="15"/>
      <c r="G309" s="15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x14ac:dyDescent="0.4">
      <c r="A310" s="15"/>
      <c r="B310" s="15"/>
      <c r="C310" s="15"/>
      <c r="D310" s="15"/>
      <c r="E310" s="15"/>
      <c r="F310" s="15"/>
      <c r="G310" s="15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x14ac:dyDescent="0.4">
      <c r="A311" s="15"/>
      <c r="B311" s="15"/>
      <c r="C311" s="15"/>
      <c r="D311" s="15"/>
      <c r="E311" s="15"/>
      <c r="F311" s="15"/>
      <c r="G311" s="15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x14ac:dyDescent="0.4">
      <c r="A312" s="15"/>
      <c r="B312" s="15"/>
      <c r="C312" s="15"/>
      <c r="D312" s="15"/>
      <c r="E312" s="15"/>
      <c r="F312" s="15"/>
      <c r="G312" s="15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x14ac:dyDescent="0.4">
      <c r="A313" s="15"/>
      <c r="B313" s="15"/>
      <c r="C313" s="15"/>
      <c r="D313" s="15"/>
      <c r="E313" s="15"/>
      <c r="F313" s="15"/>
      <c r="G313" s="15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x14ac:dyDescent="0.4">
      <c r="A314" s="15"/>
      <c r="B314" s="15"/>
      <c r="C314" s="15"/>
      <c r="D314" s="15"/>
      <c r="E314" s="15"/>
      <c r="F314" s="15"/>
      <c r="G314" s="15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x14ac:dyDescent="0.4">
      <c r="A315" s="15"/>
      <c r="B315" s="15"/>
      <c r="C315" s="15"/>
      <c r="D315" s="15"/>
      <c r="E315" s="15"/>
      <c r="F315" s="15"/>
      <c r="G315" s="15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x14ac:dyDescent="0.4">
      <c r="A316" s="15"/>
      <c r="B316" s="15"/>
      <c r="C316" s="15"/>
      <c r="D316" s="15"/>
      <c r="E316" s="15"/>
      <c r="F316" s="15"/>
      <c r="G316" s="15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x14ac:dyDescent="0.4">
      <c r="A317" s="15"/>
      <c r="B317" s="15"/>
      <c r="C317" s="15"/>
      <c r="D317" s="15"/>
      <c r="E317" s="15"/>
      <c r="F317" s="15"/>
      <c r="G317" s="15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x14ac:dyDescent="0.4">
      <c r="A318" s="15"/>
      <c r="B318" s="15"/>
      <c r="C318" s="15"/>
      <c r="D318" s="15"/>
      <c r="E318" s="15"/>
      <c r="F318" s="15"/>
      <c r="G318" s="15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x14ac:dyDescent="0.4">
      <c r="A319" s="15"/>
      <c r="B319" s="15"/>
      <c r="C319" s="15"/>
      <c r="D319" s="15"/>
      <c r="E319" s="15"/>
      <c r="F319" s="15"/>
      <c r="G319" s="15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x14ac:dyDescent="0.4">
      <c r="A320" s="15"/>
      <c r="B320" s="15"/>
      <c r="C320" s="15"/>
      <c r="D320" s="15"/>
      <c r="E320" s="15"/>
      <c r="F320" s="15"/>
      <c r="G320" s="15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x14ac:dyDescent="0.4">
      <c r="A321" s="15"/>
      <c r="B321" s="15"/>
      <c r="C321" s="15"/>
      <c r="D321" s="15"/>
      <c r="E321" s="15"/>
      <c r="F321" s="15"/>
      <c r="G321" s="15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x14ac:dyDescent="0.4">
      <c r="A322" s="15"/>
      <c r="B322" s="15"/>
      <c r="C322" s="15"/>
      <c r="D322" s="15"/>
      <c r="E322" s="15"/>
      <c r="F322" s="15"/>
      <c r="G322" s="15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x14ac:dyDescent="0.4">
      <c r="A323" s="15"/>
      <c r="B323" s="15"/>
      <c r="C323" s="15"/>
      <c r="D323" s="15"/>
      <c r="E323" s="15"/>
      <c r="F323" s="15"/>
      <c r="G323" s="15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x14ac:dyDescent="0.4">
      <c r="A324" s="15"/>
      <c r="B324" s="15"/>
      <c r="C324" s="15"/>
      <c r="D324" s="15"/>
      <c r="E324" s="15"/>
      <c r="F324" s="15"/>
      <c r="G324" s="15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x14ac:dyDescent="0.4">
      <c r="A325" s="15"/>
      <c r="B325" s="15"/>
      <c r="C325" s="15"/>
      <c r="D325" s="15"/>
      <c r="E325" s="15"/>
      <c r="F325" s="15"/>
      <c r="G325" s="15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x14ac:dyDescent="0.4">
      <c r="A326" s="15"/>
      <c r="B326" s="15"/>
      <c r="C326" s="15"/>
      <c r="D326" s="15"/>
      <c r="E326" s="15"/>
      <c r="F326" s="15"/>
      <c r="G326" s="15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x14ac:dyDescent="0.4">
      <c r="A327" s="15"/>
      <c r="B327" s="15"/>
      <c r="C327" s="15"/>
      <c r="D327" s="15"/>
      <c r="E327" s="15"/>
      <c r="F327" s="15"/>
      <c r="G327" s="15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x14ac:dyDescent="0.4">
      <c r="A328" s="15"/>
      <c r="B328" s="15"/>
      <c r="C328" s="15"/>
      <c r="D328" s="15"/>
      <c r="E328" s="15"/>
      <c r="F328" s="15"/>
      <c r="G328" s="15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x14ac:dyDescent="0.4">
      <c r="A329" s="15"/>
      <c r="B329" s="15"/>
      <c r="C329" s="15"/>
      <c r="D329" s="15"/>
      <c r="E329" s="15"/>
      <c r="F329" s="15"/>
      <c r="G329" s="15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x14ac:dyDescent="0.4">
      <c r="A330" s="15"/>
      <c r="B330" s="15"/>
      <c r="C330" s="15"/>
      <c r="D330" s="15"/>
      <c r="E330" s="15"/>
      <c r="F330" s="15"/>
      <c r="G330" s="15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x14ac:dyDescent="0.4">
      <c r="A331" s="15"/>
      <c r="B331" s="15"/>
      <c r="C331" s="15"/>
      <c r="D331" s="15"/>
      <c r="E331" s="15"/>
      <c r="F331" s="15"/>
      <c r="G331" s="15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x14ac:dyDescent="0.4">
      <c r="A332" s="15"/>
      <c r="B332" s="15"/>
      <c r="C332" s="15"/>
      <c r="D332" s="15"/>
      <c r="E332" s="15"/>
      <c r="F332" s="15"/>
      <c r="G332" s="15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x14ac:dyDescent="0.4">
      <c r="A333" s="15"/>
      <c r="B333" s="15"/>
      <c r="C333" s="15"/>
      <c r="D333" s="15"/>
      <c r="E333" s="15"/>
      <c r="F333" s="15"/>
      <c r="G333" s="15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x14ac:dyDescent="0.4">
      <c r="A334" s="15"/>
      <c r="B334" s="15"/>
      <c r="C334" s="15"/>
      <c r="D334" s="15"/>
      <c r="E334" s="15"/>
      <c r="F334" s="15"/>
      <c r="G334" s="15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x14ac:dyDescent="0.4">
      <c r="A335" s="15"/>
      <c r="B335" s="15"/>
      <c r="C335" s="15"/>
      <c r="D335" s="15"/>
      <c r="E335" s="15"/>
      <c r="F335" s="15"/>
      <c r="G335" s="15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x14ac:dyDescent="0.4">
      <c r="A336" s="15"/>
      <c r="B336" s="15"/>
      <c r="C336" s="15"/>
      <c r="D336" s="15"/>
      <c r="E336" s="15"/>
      <c r="F336" s="15"/>
      <c r="G336" s="15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x14ac:dyDescent="0.4">
      <c r="A337" s="15"/>
      <c r="B337" s="15"/>
      <c r="C337" s="15"/>
      <c r="D337" s="15"/>
      <c r="E337" s="15"/>
      <c r="F337" s="15"/>
      <c r="G337" s="15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x14ac:dyDescent="0.4">
      <c r="A338" s="15"/>
      <c r="B338" s="15"/>
      <c r="C338" s="15"/>
      <c r="D338" s="15"/>
      <c r="E338" s="15"/>
      <c r="F338" s="15"/>
      <c r="G338" s="15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x14ac:dyDescent="0.4">
      <c r="A339" s="15"/>
      <c r="B339" s="15"/>
      <c r="C339" s="15"/>
      <c r="D339" s="15"/>
      <c r="E339" s="15"/>
      <c r="F339" s="15"/>
      <c r="G339" s="15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x14ac:dyDescent="0.4">
      <c r="A340" s="15"/>
      <c r="B340" s="15"/>
      <c r="C340" s="15"/>
      <c r="D340" s="15"/>
      <c r="E340" s="15"/>
      <c r="F340" s="15"/>
      <c r="G340" s="15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x14ac:dyDescent="0.4">
      <c r="A341" s="15"/>
      <c r="B341" s="15"/>
      <c r="C341" s="15"/>
      <c r="D341" s="15"/>
      <c r="E341" s="15"/>
      <c r="F341" s="15"/>
      <c r="G341" s="15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x14ac:dyDescent="0.4">
      <c r="A342" s="15"/>
      <c r="B342" s="15"/>
      <c r="C342" s="15"/>
      <c r="D342" s="15"/>
      <c r="E342" s="15"/>
      <c r="F342" s="15"/>
      <c r="G342" s="15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x14ac:dyDescent="0.4">
      <c r="A343" s="15"/>
      <c r="B343" s="15"/>
      <c r="C343" s="15"/>
      <c r="D343" s="15"/>
      <c r="E343" s="15"/>
      <c r="F343" s="15"/>
      <c r="G343" s="15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x14ac:dyDescent="0.4">
      <c r="A344" s="15"/>
      <c r="B344" s="15"/>
      <c r="C344" s="15"/>
      <c r="D344" s="15"/>
      <c r="E344" s="15"/>
      <c r="F344" s="15"/>
      <c r="G344" s="15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x14ac:dyDescent="0.4">
      <c r="A345" s="15"/>
      <c r="B345" s="15"/>
      <c r="C345" s="15"/>
      <c r="D345" s="15"/>
      <c r="E345" s="15"/>
      <c r="F345" s="15"/>
      <c r="G345" s="15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x14ac:dyDescent="0.4">
      <c r="A346" s="15"/>
      <c r="B346" s="15"/>
      <c r="C346" s="15"/>
      <c r="D346" s="15"/>
      <c r="E346" s="15"/>
      <c r="F346" s="15"/>
      <c r="G346" s="15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x14ac:dyDescent="0.4">
      <c r="A347" s="15"/>
      <c r="B347" s="15"/>
      <c r="C347" s="15"/>
      <c r="D347" s="15"/>
      <c r="E347" s="15"/>
      <c r="F347" s="15"/>
      <c r="G347" s="15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x14ac:dyDescent="0.4">
      <c r="A348" s="15"/>
      <c r="B348" s="15"/>
      <c r="C348" s="15"/>
      <c r="D348" s="15"/>
      <c r="E348" s="15"/>
      <c r="F348" s="15"/>
      <c r="G348" s="15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x14ac:dyDescent="0.4">
      <c r="A349" s="15"/>
      <c r="B349" s="15"/>
      <c r="C349" s="15"/>
      <c r="D349" s="15"/>
      <c r="E349" s="15"/>
      <c r="F349" s="15"/>
      <c r="G349" s="15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x14ac:dyDescent="0.4">
      <c r="A350" s="15"/>
      <c r="B350" s="15"/>
      <c r="C350" s="15"/>
      <c r="D350" s="15"/>
      <c r="E350" s="15"/>
      <c r="F350" s="15"/>
      <c r="G350" s="15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x14ac:dyDescent="0.4">
      <c r="A351" s="15"/>
      <c r="B351" s="15"/>
      <c r="C351" s="15"/>
      <c r="D351" s="15"/>
      <c r="E351" s="15"/>
      <c r="F351" s="15"/>
      <c r="G351" s="15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x14ac:dyDescent="0.4">
      <c r="A352" s="15"/>
      <c r="B352" s="15"/>
      <c r="C352" s="15"/>
      <c r="D352" s="15"/>
      <c r="E352" s="15"/>
      <c r="F352" s="15"/>
      <c r="G352" s="15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x14ac:dyDescent="0.4">
      <c r="A353" s="15"/>
      <c r="B353" s="15"/>
      <c r="C353" s="15"/>
      <c r="D353" s="15"/>
      <c r="E353" s="15"/>
      <c r="F353" s="15"/>
      <c r="G353" s="15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x14ac:dyDescent="0.4">
      <c r="A354" s="15"/>
      <c r="B354" s="15"/>
      <c r="C354" s="15"/>
      <c r="D354" s="15"/>
      <c r="E354" s="15"/>
      <c r="F354" s="15"/>
      <c r="G354" s="15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x14ac:dyDescent="0.4">
      <c r="A355" s="15"/>
      <c r="B355" s="15"/>
      <c r="C355" s="15"/>
      <c r="D355" s="15"/>
      <c r="E355" s="15"/>
      <c r="F355" s="15"/>
      <c r="G355" s="15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x14ac:dyDescent="0.4">
      <c r="A356" s="15"/>
      <c r="B356" s="15"/>
      <c r="C356" s="15"/>
      <c r="D356" s="15"/>
      <c r="E356" s="15"/>
      <c r="F356" s="15"/>
      <c r="G356" s="15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x14ac:dyDescent="0.4">
      <c r="A357" s="15"/>
      <c r="B357" s="15"/>
      <c r="C357" s="15"/>
      <c r="D357" s="15"/>
      <c r="E357" s="15"/>
      <c r="F357" s="15"/>
      <c r="G357" s="15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x14ac:dyDescent="0.4">
      <c r="A358" s="15"/>
      <c r="B358" s="15"/>
      <c r="C358" s="15"/>
      <c r="D358" s="15"/>
      <c r="E358" s="15"/>
      <c r="F358" s="15"/>
      <c r="G358" s="15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x14ac:dyDescent="0.4">
      <c r="A359" s="15"/>
      <c r="B359" s="15"/>
      <c r="C359" s="15"/>
      <c r="D359" s="15"/>
      <c r="E359" s="15"/>
      <c r="F359" s="15"/>
      <c r="G359" s="15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x14ac:dyDescent="0.4">
      <c r="A360" s="15"/>
      <c r="B360" s="15"/>
      <c r="C360" s="15"/>
      <c r="D360" s="15"/>
      <c r="E360" s="15"/>
      <c r="F360" s="15"/>
      <c r="G360" s="15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x14ac:dyDescent="0.4">
      <c r="A361" s="15"/>
      <c r="B361" s="15"/>
      <c r="C361" s="15"/>
      <c r="D361" s="15"/>
      <c r="E361" s="15"/>
      <c r="F361" s="15"/>
      <c r="G361" s="15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x14ac:dyDescent="0.4">
      <c r="A362" s="15"/>
      <c r="B362" s="15"/>
      <c r="C362" s="15"/>
      <c r="D362" s="15"/>
      <c r="E362" s="15"/>
      <c r="F362" s="15"/>
      <c r="G362" s="15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x14ac:dyDescent="0.4">
      <c r="A363" s="15"/>
      <c r="B363" s="15"/>
      <c r="C363" s="15"/>
      <c r="D363" s="15"/>
      <c r="E363" s="15"/>
      <c r="F363" s="15"/>
      <c r="G363" s="15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x14ac:dyDescent="0.4">
      <c r="A364" s="15"/>
      <c r="B364" s="15"/>
      <c r="C364" s="15"/>
      <c r="D364" s="15"/>
      <c r="E364" s="15"/>
      <c r="F364" s="15"/>
      <c r="G364" s="15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x14ac:dyDescent="0.4">
      <c r="A365" s="15"/>
      <c r="B365" s="15"/>
      <c r="C365" s="15"/>
      <c r="D365" s="15"/>
      <c r="E365" s="15"/>
      <c r="F365" s="15"/>
      <c r="G365" s="15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x14ac:dyDescent="0.4">
      <c r="A366" s="15"/>
      <c r="B366" s="15"/>
      <c r="C366" s="15"/>
      <c r="D366" s="15"/>
      <c r="E366" s="15"/>
      <c r="F366" s="15"/>
      <c r="G366" s="15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x14ac:dyDescent="0.4">
      <c r="A367" s="15"/>
      <c r="B367" s="15"/>
      <c r="C367" s="15"/>
      <c r="D367" s="15"/>
      <c r="E367" s="15"/>
      <c r="F367" s="15"/>
      <c r="G367" s="15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x14ac:dyDescent="0.4">
      <c r="A368" s="15"/>
      <c r="B368" s="15"/>
      <c r="C368" s="15"/>
      <c r="D368" s="15"/>
      <c r="E368" s="15"/>
      <c r="F368" s="15"/>
      <c r="G368" s="15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x14ac:dyDescent="0.4">
      <c r="A369" s="15"/>
      <c r="B369" s="15"/>
      <c r="C369" s="15"/>
      <c r="D369" s="15"/>
      <c r="E369" s="15"/>
      <c r="F369" s="15"/>
      <c r="G369" s="15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x14ac:dyDescent="0.4">
      <c r="A370" s="15"/>
      <c r="B370" s="15"/>
      <c r="C370" s="15"/>
      <c r="D370" s="15"/>
      <c r="E370" s="15"/>
      <c r="F370" s="15"/>
      <c r="G370" s="15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x14ac:dyDescent="0.4">
      <c r="A371" s="15"/>
      <c r="B371" s="15"/>
      <c r="C371" s="15"/>
      <c r="D371" s="15"/>
      <c r="E371" s="15"/>
      <c r="F371" s="15"/>
      <c r="G371" s="15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x14ac:dyDescent="0.4">
      <c r="A372" s="15"/>
      <c r="B372" s="15"/>
      <c r="C372" s="15"/>
      <c r="D372" s="15"/>
      <c r="E372" s="15"/>
      <c r="F372" s="15"/>
      <c r="G372" s="15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x14ac:dyDescent="0.4">
      <c r="A373" s="15"/>
      <c r="B373" s="15"/>
      <c r="C373" s="15"/>
      <c r="D373" s="15"/>
      <c r="E373" s="15"/>
      <c r="F373" s="15"/>
      <c r="G373" s="15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x14ac:dyDescent="0.4">
      <c r="A374" s="15"/>
      <c r="B374" s="15"/>
      <c r="C374" s="15"/>
      <c r="D374" s="15"/>
      <c r="E374" s="15"/>
      <c r="F374" s="15"/>
      <c r="G374" s="15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x14ac:dyDescent="0.4">
      <c r="A375" s="15"/>
      <c r="B375" s="15"/>
      <c r="C375" s="15"/>
      <c r="D375" s="15"/>
      <c r="E375" s="15"/>
      <c r="F375" s="15"/>
      <c r="G375" s="15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x14ac:dyDescent="0.4">
      <c r="A376" s="15"/>
      <c r="B376" s="15"/>
      <c r="C376" s="15"/>
      <c r="D376" s="15"/>
      <c r="E376" s="15"/>
      <c r="F376" s="15"/>
      <c r="G376" s="15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x14ac:dyDescent="0.4">
      <c r="A377" s="15"/>
      <c r="B377" s="15"/>
      <c r="C377" s="15"/>
      <c r="D377" s="15"/>
      <c r="E377" s="15"/>
      <c r="F377" s="15"/>
      <c r="G377" s="15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x14ac:dyDescent="0.4">
      <c r="A378" s="15"/>
      <c r="B378" s="15"/>
      <c r="C378" s="15"/>
      <c r="D378" s="15"/>
      <c r="E378" s="15"/>
      <c r="F378" s="15"/>
      <c r="G378" s="15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x14ac:dyDescent="0.4">
      <c r="A379" s="15"/>
      <c r="B379" s="15"/>
      <c r="C379" s="15"/>
      <c r="D379" s="15"/>
      <c r="E379" s="15"/>
      <c r="F379" s="15"/>
      <c r="G379" s="15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x14ac:dyDescent="0.4">
      <c r="A380" s="15"/>
      <c r="B380" s="15"/>
      <c r="C380" s="15"/>
      <c r="D380" s="15"/>
      <c r="E380" s="15"/>
      <c r="F380" s="15"/>
      <c r="G380" s="15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x14ac:dyDescent="0.4">
      <c r="A381" s="15"/>
      <c r="B381" s="15"/>
      <c r="C381" s="15"/>
      <c r="D381" s="15"/>
      <c r="E381" s="15"/>
      <c r="F381" s="15"/>
      <c r="G381" s="15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x14ac:dyDescent="0.4">
      <c r="A382" s="15"/>
      <c r="B382" s="15"/>
      <c r="C382" s="15"/>
      <c r="D382" s="15"/>
      <c r="E382" s="15"/>
      <c r="F382" s="15"/>
      <c r="G382" s="15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x14ac:dyDescent="0.4">
      <c r="A383" s="15"/>
      <c r="B383" s="15"/>
      <c r="C383" s="15"/>
      <c r="D383" s="15"/>
      <c r="E383" s="15"/>
      <c r="F383" s="15"/>
      <c r="G383" s="15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x14ac:dyDescent="0.4">
      <c r="A384" s="15"/>
      <c r="B384" s="15"/>
      <c r="C384" s="15"/>
      <c r="D384" s="15"/>
      <c r="E384" s="15"/>
      <c r="F384" s="15"/>
      <c r="G384" s="15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x14ac:dyDescent="0.4">
      <c r="A385" s="15"/>
      <c r="B385" s="15"/>
      <c r="C385" s="15"/>
      <c r="D385" s="15"/>
      <c r="E385" s="15"/>
      <c r="F385" s="15"/>
      <c r="G385" s="15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x14ac:dyDescent="0.4">
      <c r="A386" s="15"/>
      <c r="B386" s="15"/>
      <c r="C386" s="15"/>
      <c r="D386" s="15"/>
      <c r="E386" s="15"/>
      <c r="F386" s="15"/>
      <c r="G386" s="15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x14ac:dyDescent="0.4">
      <c r="A387" s="15"/>
      <c r="B387" s="15"/>
      <c r="C387" s="15"/>
      <c r="D387" s="15"/>
      <c r="E387" s="15"/>
      <c r="F387" s="15"/>
      <c r="G387" s="15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x14ac:dyDescent="0.4">
      <c r="A388" s="15"/>
      <c r="B388" s="15"/>
      <c r="C388" s="15"/>
      <c r="D388" s="15"/>
      <c r="E388" s="15"/>
      <c r="F388" s="15"/>
      <c r="G388" s="15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x14ac:dyDescent="0.4">
      <c r="A389" s="15"/>
      <c r="B389" s="15"/>
      <c r="C389" s="15"/>
      <c r="D389" s="15"/>
      <c r="E389" s="15"/>
      <c r="F389" s="15"/>
      <c r="G389" s="15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x14ac:dyDescent="0.4">
      <c r="A390" s="15"/>
      <c r="B390" s="15"/>
      <c r="C390" s="15"/>
      <c r="D390" s="15"/>
      <c r="E390" s="15"/>
      <c r="F390" s="15"/>
      <c r="G390" s="15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x14ac:dyDescent="0.4">
      <c r="A391" s="15"/>
      <c r="B391" s="15"/>
      <c r="C391" s="15"/>
      <c r="D391" s="15"/>
      <c r="E391" s="15"/>
      <c r="F391" s="15"/>
      <c r="G391" s="15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x14ac:dyDescent="0.4">
      <c r="A392" s="15"/>
      <c r="B392" s="15"/>
      <c r="C392" s="15"/>
      <c r="D392" s="15"/>
      <c r="E392" s="15"/>
      <c r="F392" s="15"/>
      <c r="G392" s="15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x14ac:dyDescent="0.4">
      <c r="A393" s="15"/>
      <c r="B393" s="15"/>
      <c r="C393" s="15"/>
      <c r="D393" s="15"/>
      <c r="E393" s="15"/>
      <c r="F393" s="15"/>
      <c r="G393" s="15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x14ac:dyDescent="0.4">
      <c r="A394" s="15"/>
      <c r="B394" s="15"/>
      <c r="C394" s="15"/>
      <c r="D394" s="15"/>
      <c r="E394" s="15"/>
      <c r="F394" s="15"/>
      <c r="G394" s="15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x14ac:dyDescent="0.4">
      <c r="A395" s="15"/>
      <c r="B395" s="15"/>
      <c r="C395" s="15"/>
      <c r="D395" s="15"/>
      <c r="E395" s="15"/>
      <c r="F395" s="15"/>
      <c r="G395" s="15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x14ac:dyDescent="0.4">
      <c r="A396" s="15"/>
      <c r="B396" s="15"/>
      <c r="C396" s="15"/>
      <c r="D396" s="15"/>
      <c r="E396" s="15"/>
      <c r="F396" s="15"/>
      <c r="G396" s="15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x14ac:dyDescent="0.4">
      <c r="A397" s="15"/>
      <c r="B397" s="15"/>
      <c r="C397" s="15"/>
      <c r="D397" s="15"/>
      <c r="E397" s="15"/>
      <c r="F397" s="15"/>
      <c r="G397" s="15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x14ac:dyDescent="0.4">
      <c r="A398" s="15"/>
      <c r="B398" s="15"/>
      <c r="C398" s="15"/>
      <c r="D398" s="15"/>
      <c r="E398" s="15"/>
      <c r="F398" s="15"/>
      <c r="G398" s="15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x14ac:dyDescent="0.4">
      <c r="A399" s="15"/>
      <c r="B399" s="15"/>
      <c r="C399" s="15"/>
      <c r="D399" s="15"/>
      <c r="E399" s="15"/>
      <c r="F399" s="15"/>
      <c r="G399" s="15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x14ac:dyDescent="0.4">
      <c r="A400" s="15"/>
      <c r="B400" s="15"/>
      <c r="C400" s="15"/>
      <c r="D400" s="15"/>
      <c r="E400" s="15"/>
      <c r="F400" s="15"/>
      <c r="G400" s="15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x14ac:dyDescent="0.4">
      <c r="A401" s="15"/>
      <c r="B401" s="15"/>
      <c r="C401" s="15"/>
      <c r="D401" s="15"/>
      <c r="E401" s="15"/>
      <c r="F401" s="15"/>
      <c r="G401" s="15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x14ac:dyDescent="0.4">
      <c r="A402" s="15"/>
      <c r="B402" s="15"/>
      <c r="C402" s="15"/>
      <c r="D402" s="15"/>
      <c r="E402" s="15"/>
      <c r="F402" s="15"/>
      <c r="G402" s="15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x14ac:dyDescent="0.4">
      <c r="A403" s="15"/>
      <c r="B403" s="15"/>
      <c r="C403" s="15"/>
      <c r="D403" s="15"/>
      <c r="E403" s="15"/>
      <c r="F403" s="15"/>
      <c r="G403" s="15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x14ac:dyDescent="0.4">
      <c r="A404" s="15"/>
      <c r="B404" s="15"/>
      <c r="C404" s="15"/>
      <c r="D404" s="15"/>
      <c r="E404" s="15"/>
      <c r="F404" s="15"/>
      <c r="G404" s="15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x14ac:dyDescent="0.4">
      <c r="A405" s="15"/>
      <c r="B405" s="15"/>
      <c r="C405" s="15"/>
      <c r="D405" s="15"/>
      <c r="E405" s="15"/>
      <c r="F405" s="15"/>
      <c r="G405" s="15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x14ac:dyDescent="0.4">
      <c r="A406" s="15"/>
      <c r="B406" s="15"/>
      <c r="C406" s="15"/>
      <c r="D406" s="15"/>
      <c r="E406" s="15"/>
      <c r="F406" s="15"/>
      <c r="G406" s="15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x14ac:dyDescent="0.4">
      <c r="A407" s="15"/>
      <c r="B407" s="15"/>
      <c r="C407" s="15"/>
      <c r="D407" s="15"/>
      <c r="E407" s="15"/>
      <c r="F407" s="15"/>
      <c r="G407" s="15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x14ac:dyDescent="0.4">
      <c r="A408" s="15"/>
      <c r="B408" s="15"/>
      <c r="C408" s="15"/>
      <c r="D408" s="15"/>
      <c r="E408" s="15"/>
      <c r="F408" s="15"/>
      <c r="G408" s="15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x14ac:dyDescent="0.4">
      <c r="A409" s="15"/>
      <c r="B409" s="15"/>
      <c r="C409" s="15"/>
      <c r="D409" s="15"/>
      <c r="E409" s="15"/>
      <c r="F409" s="15"/>
      <c r="G409" s="15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x14ac:dyDescent="0.4">
      <c r="A410" s="15"/>
      <c r="B410" s="15"/>
      <c r="C410" s="15"/>
      <c r="D410" s="15"/>
      <c r="E410" s="15"/>
      <c r="F410" s="15"/>
      <c r="G410" s="15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x14ac:dyDescent="0.4">
      <c r="A411" s="15"/>
      <c r="B411" s="15"/>
      <c r="C411" s="15"/>
      <c r="D411" s="15"/>
      <c r="E411" s="15"/>
      <c r="F411" s="15"/>
      <c r="G411" s="15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x14ac:dyDescent="0.4">
      <c r="A412" s="15"/>
      <c r="B412" s="15"/>
      <c r="C412" s="15"/>
      <c r="D412" s="15"/>
      <c r="E412" s="15"/>
      <c r="F412" s="15"/>
      <c r="G412" s="15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x14ac:dyDescent="0.4">
      <c r="A413" s="15"/>
      <c r="B413" s="15"/>
      <c r="C413" s="15"/>
      <c r="D413" s="15"/>
      <c r="E413" s="15"/>
      <c r="F413" s="15"/>
      <c r="G413" s="15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x14ac:dyDescent="0.4">
      <c r="A414" s="15"/>
      <c r="B414" s="15"/>
      <c r="C414" s="15"/>
      <c r="D414" s="15"/>
      <c r="E414" s="15"/>
      <c r="F414" s="15"/>
      <c r="G414" s="15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x14ac:dyDescent="0.4">
      <c r="A415" s="15"/>
      <c r="B415" s="15"/>
      <c r="C415" s="15"/>
      <c r="D415" s="15"/>
      <c r="E415" s="15"/>
      <c r="F415" s="15"/>
      <c r="G415" s="15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x14ac:dyDescent="0.4">
      <c r="A416" s="15"/>
      <c r="B416" s="15"/>
      <c r="C416" s="15"/>
      <c r="D416" s="15"/>
      <c r="E416" s="15"/>
      <c r="F416" s="15"/>
      <c r="G416" s="15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x14ac:dyDescent="0.4">
      <c r="A417" s="15"/>
      <c r="B417" s="15"/>
      <c r="C417" s="15"/>
      <c r="D417" s="15"/>
      <c r="E417" s="15"/>
      <c r="F417" s="15"/>
      <c r="G417" s="15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x14ac:dyDescent="0.4">
      <c r="A418" s="15"/>
      <c r="B418" s="15"/>
      <c r="C418" s="15"/>
      <c r="D418" s="15"/>
      <c r="E418" s="15"/>
      <c r="F418" s="15"/>
      <c r="G418" s="15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x14ac:dyDescent="0.4">
      <c r="A419" s="15"/>
      <c r="B419" s="15"/>
      <c r="C419" s="15"/>
      <c r="D419" s="15"/>
      <c r="E419" s="15"/>
      <c r="F419" s="15"/>
      <c r="G419" s="15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x14ac:dyDescent="0.4">
      <c r="A420" s="15"/>
      <c r="B420" s="15"/>
      <c r="C420" s="15"/>
      <c r="D420" s="15"/>
      <c r="E420" s="15"/>
      <c r="F420" s="15"/>
      <c r="G420" s="15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x14ac:dyDescent="0.4">
      <c r="A421" s="15"/>
      <c r="B421" s="15"/>
      <c r="C421" s="15"/>
      <c r="D421" s="15"/>
      <c r="E421" s="15"/>
      <c r="F421" s="15"/>
      <c r="G421" s="15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x14ac:dyDescent="0.4">
      <c r="A422" s="15"/>
      <c r="B422" s="15"/>
      <c r="C422" s="15"/>
      <c r="D422" s="15"/>
      <c r="E422" s="15"/>
      <c r="F422" s="15"/>
      <c r="G422" s="15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x14ac:dyDescent="0.4">
      <c r="A423" s="15"/>
      <c r="B423" s="15"/>
      <c r="C423" s="15"/>
      <c r="D423" s="15"/>
      <c r="E423" s="15"/>
      <c r="F423" s="15"/>
      <c r="G423" s="15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x14ac:dyDescent="0.4">
      <c r="A424" s="15"/>
      <c r="B424" s="15"/>
      <c r="C424" s="15"/>
      <c r="D424" s="15"/>
      <c r="E424" s="15"/>
      <c r="F424" s="15"/>
      <c r="G424" s="15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x14ac:dyDescent="0.4">
      <c r="A425" s="15"/>
      <c r="B425" s="15"/>
      <c r="C425" s="15"/>
      <c r="D425" s="15"/>
      <c r="E425" s="15"/>
      <c r="F425" s="15"/>
      <c r="G425" s="15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x14ac:dyDescent="0.4">
      <c r="A426" s="15"/>
      <c r="B426" s="15"/>
      <c r="C426" s="15"/>
      <c r="D426" s="15"/>
      <c r="E426" s="15"/>
      <c r="F426" s="15"/>
      <c r="G426" s="15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x14ac:dyDescent="0.4">
      <c r="A427" s="15"/>
      <c r="B427" s="15"/>
      <c r="C427" s="15"/>
      <c r="D427" s="15"/>
      <c r="E427" s="15"/>
      <c r="F427" s="15"/>
      <c r="G427" s="15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x14ac:dyDescent="0.4">
      <c r="A428" s="15"/>
      <c r="B428" s="15"/>
      <c r="C428" s="15"/>
      <c r="D428" s="15"/>
      <c r="E428" s="15"/>
      <c r="F428" s="15"/>
      <c r="G428" s="15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x14ac:dyDescent="0.4">
      <c r="A429" s="15"/>
      <c r="B429" s="15"/>
      <c r="C429" s="15"/>
      <c r="D429" s="15"/>
      <c r="E429" s="15"/>
      <c r="F429" s="15"/>
      <c r="G429" s="15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x14ac:dyDescent="0.4">
      <c r="A430" s="15"/>
      <c r="B430" s="15"/>
      <c r="C430" s="15"/>
      <c r="D430" s="15"/>
      <c r="E430" s="15"/>
      <c r="F430" s="15"/>
      <c r="G430" s="15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x14ac:dyDescent="0.4">
      <c r="A431" s="15"/>
      <c r="B431" s="15"/>
      <c r="C431" s="15"/>
      <c r="D431" s="15"/>
      <c r="E431" s="15"/>
      <c r="F431" s="15"/>
      <c r="G431" s="15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x14ac:dyDescent="0.4">
      <c r="A432" s="15"/>
      <c r="B432" s="15"/>
      <c r="C432" s="15"/>
      <c r="D432" s="15"/>
      <c r="E432" s="15"/>
      <c r="F432" s="15"/>
      <c r="G432" s="15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x14ac:dyDescent="0.4">
      <c r="A433" s="15"/>
      <c r="B433" s="15"/>
      <c r="C433" s="15"/>
      <c r="D433" s="15"/>
      <c r="E433" s="15"/>
      <c r="F433" s="15"/>
      <c r="G433" s="15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x14ac:dyDescent="0.4">
      <c r="A434" s="15"/>
      <c r="B434" s="15"/>
      <c r="C434" s="15"/>
      <c r="D434" s="15"/>
      <c r="E434" s="15"/>
      <c r="F434" s="15"/>
      <c r="G434" s="15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x14ac:dyDescent="0.4">
      <c r="A435" s="15"/>
      <c r="B435" s="15"/>
      <c r="C435" s="15"/>
      <c r="D435" s="15"/>
      <c r="E435" s="15"/>
      <c r="F435" s="15"/>
      <c r="G435" s="15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x14ac:dyDescent="0.4">
      <c r="A436" s="15"/>
      <c r="B436" s="15"/>
      <c r="C436" s="15"/>
      <c r="D436" s="15"/>
      <c r="E436" s="15"/>
      <c r="F436" s="15"/>
      <c r="G436" s="15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x14ac:dyDescent="0.4">
      <c r="A437" s="15"/>
      <c r="B437" s="15"/>
      <c r="C437" s="15"/>
      <c r="D437" s="15"/>
      <c r="E437" s="15"/>
      <c r="F437" s="15"/>
      <c r="G437" s="15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x14ac:dyDescent="0.4">
      <c r="A438" s="15"/>
      <c r="B438" s="15"/>
      <c r="C438" s="15"/>
      <c r="D438" s="15"/>
      <c r="E438" s="15"/>
      <c r="F438" s="15"/>
      <c r="G438" s="15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x14ac:dyDescent="0.4">
      <c r="A439" s="15"/>
      <c r="B439" s="15"/>
      <c r="C439" s="15"/>
      <c r="D439" s="15"/>
      <c r="E439" s="15"/>
      <c r="F439" s="15"/>
      <c r="G439" s="15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x14ac:dyDescent="0.4">
      <c r="A440" s="15"/>
      <c r="B440" s="15"/>
      <c r="C440" s="15"/>
      <c r="D440" s="15"/>
      <c r="E440" s="15"/>
      <c r="F440" s="15"/>
      <c r="G440" s="15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x14ac:dyDescent="0.4">
      <c r="A441" s="15"/>
      <c r="B441" s="15"/>
      <c r="C441" s="15"/>
      <c r="D441" s="15"/>
      <c r="E441" s="15"/>
      <c r="F441" s="15"/>
      <c r="G441" s="15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x14ac:dyDescent="0.4">
      <c r="A442" s="15"/>
      <c r="B442" s="15"/>
      <c r="C442" s="15"/>
      <c r="D442" s="15"/>
      <c r="E442" s="15"/>
      <c r="F442" s="15"/>
      <c r="G442" s="15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x14ac:dyDescent="0.4">
      <c r="A443" s="15"/>
      <c r="B443" s="15"/>
      <c r="C443" s="15"/>
      <c r="D443" s="15"/>
      <c r="E443" s="15"/>
      <c r="F443" s="15"/>
      <c r="G443" s="15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x14ac:dyDescent="0.4">
      <c r="A444" s="15"/>
      <c r="B444" s="15"/>
      <c r="C444" s="15"/>
      <c r="D444" s="15"/>
      <c r="E444" s="15"/>
      <c r="F444" s="15"/>
      <c r="G444" s="15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x14ac:dyDescent="0.4">
      <c r="A445" s="15"/>
      <c r="B445" s="15"/>
      <c r="C445" s="15"/>
      <c r="D445" s="15"/>
      <c r="E445" s="15"/>
      <c r="F445" s="15"/>
      <c r="G445" s="15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x14ac:dyDescent="0.4">
      <c r="A446" s="15"/>
      <c r="B446" s="15"/>
      <c r="C446" s="15"/>
      <c r="D446" s="15"/>
      <c r="E446" s="15"/>
      <c r="F446" s="15"/>
      <c r="G446" s="15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x14ac:dyDescent="0.4">
      <c r="A447" s="15"/>
      <c r="B447" s="15"/>
      <c r="C447" s="15"/>
      <c r="D447" s="15"/>
      <c r="E447" s="15"/>
      <c r="F447" s="15"/>
      <c r="G447" s="15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x14ac:dyDescent="0.4">
      <c r="A448" s="15"/>
      <c r="B448" s="15"/>
      <c r="C448" s="15"/>
      <c r="D448" s="15"/>
      <c r="E448" s="15"/>
      <c r="F448" s="15"/>
      <c r="G448" s="15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x14ac:dyDescent="0.4">
      <c r="A449" s="15"/>
      <c r="B449" s="15"/>
      <c r="C449" s="15"/>
      <c r="D449" s="15"/>
      <c r="E449" s="15"/>
      <c r="F449" s="15"/>
      <c r="G449" s="15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x14ac:dyDescent="0.4">
      <c r="A450" s="15"/>
      <c r="B450" s="15"/>
      <c r="C450" s="15"/>
      <c r="D450" s="15"/>
      <c r="E450" s="15"/>
      <c r="F450" s="15"/>
      <c r="G450" s="15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x14ac:dyDescent="0.4">
      <c r="A451" s="15"/>
      <c r="B451" s="15"/>
      <c r="C451" s="15"/>
      <c r="D451" s="15"/>
      <c r="E451" s="15"/>
      <c r="F451" s="15"/>
      <c r="G451" s="15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x14ac:dyDescent="0.4">
      <c r="A452" s="15"/>
      <c r="B452" s="15"/>
      <c r="C452" s="15"/>
      <c r="D452" s="15"/>
      <c r="E452" s="15"/>
      <c r="F452" s="15"/>
      <c r="G452" s="15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x14ac:dyDescent="0.4">
      <c r="A453" s="15"/>
      <c r="B453" s="15"/>
      <c r="C453" s="15"/>
      <c r="D453" s="15"/>
      <c r="E453" s="15"/>
      <c r="F453" s="15"/>
      <c r="G453" s="15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x14ac:dyDescent="0.4">
      <c r="A454" s="15"/>
      <c r="B454" s="15"/>
      <c r="C454" s="15"/>
      <c r="D454" s="15"/>
      <c r="E454" s="15"/>
      <c r="F454" s="15"/>
      <c r="G454" s="15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x14ac:dyDescent="0.4">
      <c r="A455" s="15"/>
      <c r="B455" s="15"/>
      <c r="C455" s="15"/>
      <c r="D455" s="15"/>
      <c r="E455" s="15"/>
      <c r="F455" s="15"/>
      <c r="G455" s="15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x14ac:dyDescent="0.4">
      <c r="A456" s="15"/>
      <c r="B456" s="15"/>
      <c r="C456" s="15"/>
      <c r="D456" s="15"/>
      <c r="E456" s="15"/>
      <c r="F456" s="15"/>
      <c r="G456" s="15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x14ac:dyDescent="0.4">
      <c r="A457" s="15"/>
      <c r="B457" s="15"/>
      <c r="C457" s="15"/>
      <c r="D457" s="15"/>
      <c r="E457" s="15"/>
      <c r="F457" s="15"/>
      <c r="G457" s="15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x14ac:dyDescent="0.4">
      <c r="A458" s="15"/>
      <c r="B458" s="15"/>
      <c r="C458" s="15"/>
      <c r="D458" s="15"/>
      <c r="E458" s="15"/>
      <c r="F458" s="15"/>
      <c r="G458" s="15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x14ac:dyDescent="0.4">
      <c r="A459" s="15"/>
      <c r="B459" s="15"/>
      <c r="C459" s="15"/>
      <c r="D459" s="15"/>
      <c r="E459" s="15"/>
      <c r="F459" s="15"/>
      <c r="G459" s="15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x14ac:dyDescent="0.4">
      <c r="A460" s="15"/>
      <c r="B460" s="15"/>
      <c r="C460" s="15"/>
      <c r="D460" s="15"/>
      <c r="E460" s="15"/>
      <c r="F460" s="15"/>
      <c r="G460" s="15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x14ac:dyDescent="0.4">
      <c r="A461" s="15"/>
      <c r="B461" s="15"/>
      <c r="C461" s="15"/>
      <c r="D461" s="15"/>
      <c r="E461" s="15"/>
      <c r="F461" s="15"/>
      <c r="G461" s="15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x14ac:dyDescent="0.4">
      <c r="A462" s="15"/>
      <c r="B462" s="15"/>
      <c r="C462" s="15"/>
      <c r="D462" s="15"/>
      <c r="E462" s="15"/>
      <c r="F462" s="15"/>
      <c r="G462" s="15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x14ac:dyDescent="0.4">
      <c r="A463" s="15"/>
      <c r="B463" s="15"/>
      <c r="C463" s="15"/>
      <c r="D463" s="15"/>
      <c r="E463" s="15"/>
      <c r="F463" s="15"/>
      <c r="G463" s="15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x14ac:dyDescent="0.4">
      <c r="A464" s="15"/>
      <c r="B464" s="15"/>
      <c r="C464" s="15"/>
      <c r="D464" s="15"/>
      <c r="E464" s="15"/>
      <c r="F464" s="15"/>
      <c r="G464" s="15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x14ac:dyDescent="0.4">
      <c r="A465" s="15"/>
      <c r="B465" s="15"/>
      <c r="C465" s="15"/>
      <c r="D465" s="15"/>
      <c r="E465" s="15"/>
      <c r="F465" s="15"/>
      <c r="G465" s="15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x14ac:dyDescent="0.4">
      <c r="A466" s="15"/>
      <c r="B466" s="15"/>
      <c r="C466" s="15"/>
      <c r="D466" s="15"/>
      <c r="E466" s="15"/>
      <c r="F466" s="15"/>
      <c r="G466" s="15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x14ac:dyDescent="0.4">
      <c r="A467" s="15"/>
      <c r="B467" s="15"/>
      <c r="C467" s="15"/>
      <c r="D467" s="15"/>
      <c r="E467" s="15"/>
      <c r="F467" s="15"/>
      <c r="G467" s="15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x14ac:dyDescent="0.4">
      <c r="A468" s="15"/>
      <c r="B468" s="15"/>
      <c r="C468" s="15"/>
      <c r="D468" s="15"/>
      <c r="E468" s="15"/>
      <c r="F468" s="15"/>
      <c r="G468" s="15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x14ac:dyDescent="0.4">
      <c r="A469" s="15"/>
      <c r="B469" s="15"/>
      <c r="C469" s="15"/>
      <c r="D469" s="15"/>
      <c r="E469" s="15"/>
      <c r="F469" s="15"/>
      <c r="G469" s="15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x14ac:dyDescent="0.4">
      <c r="A470" s="15"/>
      <c r="B470" s="15"/>
      <c r="C470" s="15"/>
      <c r="D470" s="15"/>
      <c r="E470" s="15"/>
      <c r="F470" s="15"/>
      <c r="G470" s="15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x14ac:dyDescent="0.4">
      <c r="A471" s="15"/>
      <c r="B471" s="15"/>
      <c r="C471" s="15"/>
      <c r="D471" s="15"/>
      <c r="E471" s="15"/>
      <c r="F471" s="15"/>
      <c r="G471" s="15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x14ac:dyDescent="0.4">
      <c r="A472" s="15"/>
      <c r="B472" s="15"/>
      <c r="C472" s="15"/>
      <c r="D472" s="15"/>
      <c r="E472" s="15"/>
      <c r="F472" s="15"/>
      <c r="G472" s="15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x14ac:dyDescent="0.4">
      <c r="A473" s="15"/>
      <c r="B473" s="15"/>
      <c r="C473" s="15"/>
      <c r="D473" s="15"/>
      <c r="E473" s="15"/>
      <c r="F473" s="15"/>
      <c r="G473" s="15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x14ac:dyDescent="0.4">
      <c r="A474" s="15"/>
      <c r="B474" s="15"/>
      <c r="C474" s="15"/>
      <c r="D474" s="15"/>
      <c r="E474" s="15"/>
      <c r="F474" s="15"/>
      <c r="G474" s="15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x14ac:dyDescent="0.4">
      <c r="A475" s="15"/>
      <c r="B475" s="15"/>
      <c r="C475" s="15"/>
      <c r="D475" s="15"/>
      <c r="E475" s="15"/>
      <c r="F475" s="15"/>
      <c r="G475" s="15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x14ac:dyDescent="0.4">
      <c r="A476" s="15"/>
      <c r="B476" s="15"/>
      <c r="C476" s="15"/>
      <c r="D476" s="15"/>
      <c r="E476" s="15"/>
      <c r="F476" s="15"/>
      <c r="G476" s="15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x14ac:dyDescent="0.4">
      <c r="A477" s="15"/>
      <c r="B477" s="15"/>
      <c r="C477" s="15"/>
      <c r="D477" s="15"/>
      <c r="E477" s="15"/>
      <c r="F477" s="15"/>
      <c r="G477" s="15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x14ac:dyDescent="0.4">
      <c r="A478" s="15"/>
      <c r="B478" s="15"/>
      <c r="C478" s="15"/>
      <c r="D478" s="15"/>
      <c r="E478" s="15"/>
      <c r="F478" s="15"/>
      <c r="G478" s="15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x14ac:dyDescent="0.4">
      <c r="A479" s="15"/>
      <c r="B479" s="15"/>
      <c r="C479" s="15"/>
      <c r="D479" s="15"/>
      <c r="E479" s="15"/>
      <c r="F479" s="15"/>
      <c r="G479" s="15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x14ac:dyDescent="0.4">
      <c r="A480" s="15"/>
      <c r="B480" s="15"/>
      <c r="C480" s="15"/>
      <c r="D480" s="15"/>
      <c r="E480" s="15"/>
      <c r="F480" s="15"/>
      <c r="G480" s="15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x14ac:dyDescent="0.4">
      <c r="A481" s="15"/>
      <c r="B481" s="15"/>
      <c r="C481" s="15"/>
      <c r="D481" s="15"/>
      <c r="E481" s="15"/>
      <c r="F481" s="15"/>
      <c r="G481" s="15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x14ac:dyDescent="0.4">
      <c r="A482" s="15"/>
      <c r="B482" s="15"/>
      <c r="C482" s="15"/>
      <c r="D482" s="15"/>
      <c r="E482" s="15"/>
      <c r="F482" s="15"/>
      <c r="G482" s="15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x14ac:dyDescent="0.4">
      <c r="A483" s="15"/>
      <c r="B483" s="15"/>
      <c r="C483" s="15"/>
      <c r="D483" s="15"/>
      <c r="E483" s="15"/>
      <c r="F483" s="15"/>
      <c r="G483" s="15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x14ac:dyDescent="0.4">
      <c r="A484" s="15"/>
      <c r="B484" s="15"/>
      <c r="C484" s="15"/>
      <c r="D484" s="15"/>
      <c r="E484" s="15"/>
      <c r="F484" s="15"/>
      <c r="G484" s="15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x14ac:dyDescent="0.4">
      <c r="A485" s="15"/>
      <c r="B485" s="15"/>
      <c r="C485" s="15"/>
      <c r="D485" s="15"/>
      <c r="E485" s="15"/>
      <c r="F485" s="15"/>
      <c r="G485" s="15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x14ac:dyDescent="0.4">
      <c r="A486" s="15"/>
      <c r="B486" s="15"/>
      <c r="C486" s="15"/>
      <c r="D486" s="15"/>
      <c r="E486" s="15"/>
      <c r="F486" s="15"/>
      <c r="G486" s="15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x14ac:dyDescent="0.4">
      <c r="A487" s="15"/>
      <c r="B487" s="15"/>
      <c r="C487" s="15"/>
      <c r="D487" s="15"/>
      <c r="E487" s="15"/>
      <c r="F487" s="15"/>
      <c r="G487" s="15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x14ac:dyDescent="0.4">
      <c r="A488" s="15"/>
      <c r="B488" s="15"/>
      <c r="C488" s="15"/>
      <c r="D488" s="15"/>
      <c r="E488" s="15"/>
      <c r="F488" s="15"/>
      <c r="G488" s="15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x14ac:dyDescent="0.4">
      <c r="A489" s="15"/>
      <c r="B489" s="15"/>
      <c r="C489" s="15"/>
      <c r="D489" s="15"/>
      <c r="E489" s="15"/>
      <c r="F489" s="15"/>
      <c r="G489" s="15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x14ac:dyDescent="0.4">
      <c r="A490" s="15"/>
      <c r="B490" s="15"/>
      <c r="C490" s="15"/>
      <c r="D490" s="15"/>
      <c r="E490" s="15"/>
      <c r="F490" s="15"/>
      <c r="G490" s="15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x14ac:dyDescent="0.4">
      <c r="A491" s="15"/>
      <c r="B491" s="15"/>
      <c r="C491" s="15"/>
      <c r="D491" s="15"/>
      <c r="E491" s="15"/>
      <c r="F491" s="15"/>
      <c r="G491" s="15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x14ac:dyDescent="0.4">
      <c r="A492" s="15"/>
      <c r="B492" s="15"/>
      <c r="C492" s="15"/>
      <c r="D492" s="15"/>
      <c r="E492" s="15"/>
      <c r="F492" s="15"/>
      <c r="G492" s="15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x14ac:dyDescent="0.4">
      <c r="A493" s="15"/>
      <c r="B493" s="15"/>
      <c r="C493" s="15"/>
      <c r="D493" s="15"/>
      <c r="E493" s="15"/>
      <c r="F493" s="15"/>
      <c r="G493" s="15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x14ac:dyDescent="0.4">
      <c r="A494" s="15"/>
      <c r="B494" s="15"/>
      <c r="C494" s="15"/>
      <c r="D494" s="15"/>
      <c r="E494" s="15"/>
      <c r="F494" s="15"/>
      <c r="G494" s="15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x14ac:dyDescent="0.4">
      <c r="A495" s="15"/>
      <c r="B495" s="15"/>
      <c r="C495" s="15"/>
      <c r="D495" s="15"/>
      <c r="E495" s="15"/>
      <c r="F495" s="15"/>
      <c r="G495" s="15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x14ac:dyDescent="0.4">
      <c r="A496" s="15"/>
      <c r="B496" s="15"/>
      <c r="C496" s="15"/>
      <c r="D496" s="15"/>
      <c r="E496" s="15"/>
      <c r="F496" s="15"/>
      <c r="G496" s="15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x14ac:dyDescent="0.4">
      <c r="A497" s="15"/>
      <c r="B497" s="15"/>
      <c r="C497" s="15"/>
      <c r="D497" s="15"/>
      <c r="E497" s="15"/>
      <c r="F497" s="15"/>
      <c r="G497" s="15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x14ac:dyDescent="0.4">
      <c r="A498" s="15"/>
      <c r="B498" s="15"/>
      <c r="C498" s="15"/>
      <c r="D498" s="15"/>
      <c r="E498" s="15"/>
      <c r="F498" s="15"/>
      <c r="G498" s="15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x14ac:dyDescent="0.4">
      <c r="A499" s="15"/>
      <c r="B499" s="15"/>
      <c r="C499" s="15"/>
      <c r="D499" s="15"/>
      <c r="E499" s="15"/>
      <c r="F499" s="15"/>
      <c r="G499" s="15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x14ac:dyDescent="0.4">
      <c r="A500" s="15"/>
      <c r="B500" s="15"/>
      <c r="C500" s="15"/>
      <c r="D500" s="15"/>
      <c r="E500" s="15"/>
      <c r="F500" s="15"/>
      <c r="G500" s="15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x14ac:dyDescent="0.4">
      <c r="A501" s="15"/>
      <c r="B501" s="15"/>
      <c r="C501" s="15"/>
      <c r="D501" s="15"/>
      <c r="E501" s="15"/>
      <c r="F501" s="15"/>
      <c r="G501" s="15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x14ac:dyDescent="0.4">
      <c r="A502" s="15"/>
      <c r="B502" s="15"/>
      <c r="C502" s="15"/>
      <c r="D502" s="15"/>
      <c r="E502" s="15"/>
      <c r="F502" s="15"/>
      <c r="G502" s="15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x14ac:dyDescent="0.4">
      <c r="A503" s="15"/>
      <c r="B503" s="15"/>
      <c r="C503" s="15"/>
      <c r="D503" s="15"/>
      <c r="E503" s="15"/>
      <c r="F503" s="15"/>
      <c r="G503" s="15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x14ac:dyDescent="0.4">
      <c r="A504" s="15"/>
      <c r="B504" s="15"/>
      <c r="C504" s="15"/>
      <c r="D504" s="15"/>
      <c r="E504" s="15"/>
      <c r="F504" s="15"/>
      <c r="G504" s="15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x14ac:dyDescent="0.4">
      <c r="A505" s="15"/>
      <c r="B505" s="15"/>
      <c r="C505" s="15"/>
      <c r="D505" s="15"/>
      <c r="E505" s="15"/>
      <c r="F505" s="15"/>
      <c r="G505" s="15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x14ac:dyDescent="0.4">
      <c r="A506" s="15"/>
      <c r="B506" s="15"/>
      <c r="C506" s="15"/>
      <c r="D506" s="15"/>
      <c r="E506" s="15"/>
      <c r="F506" s="15"/>
      <c r="G506" s="15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x14ac:dyDescent="0.4">
      <c r="A507" s="15"/>
      <c r="B507" s="15"/>
      <c r="C507" s="15"/>
      <c r="D507" s="15"/>
      <c r="E507" s="15"/>
      <c r="F507" s="15"/>
      <c r="G507" s="15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x14ac:dyDescent="0.4">
      <c r="A508" s="15"/>
      <c r="B508" s="15"/>
      <c r="C508" s="15"/>
      <c r="D508" s="15"/>
      <c r="E508" s="15"/>
      <c r="F508" s="15"/>
      <c r="G508" s="15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x14ac:dyDescent="0.4">
      <c r="A509" s="15"/>
      <c r="B509" s="15"/>
      <c r="C509" s="15"/>
      <c r="D509" s="15"/>
      <c r="E509" s="15"/>
      <c r="F509" s="15"/>
      <c r="G509" s="15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x14ac:dyDescent="0.4">
      <c r="A510" s="15"/>
      <c r="B510" s="15"/>
      <c r="C510" s="15"/>
      <c r="D510" s="15"/>
      <c r="E510" s="15"/>
      <c r="F510" s="15"/>
      <c r="G510" s="15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x14ac:dyDescent="0.4">
      <c r="A511" s="15"/>
      <c r="B511" s="15"/>
      <c r="C511" s="15"/>
      <c r="D511" s="15"/>
      <c r="E511" s="15"/>
      <c r="F511" s="15"/>
      <c r="G511" s="15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x14ac:dyDescent="0.4">
      <c r="A512" s="15"/>
      <c r="B512" s="15"/>
      <c r="C512" s="15"/>
      <c r="D512" s="15"/>
      <c r="E512" s="15"/>
      <c r="F512" s="15"/>
      <c r="G512" s="15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x14ac:dyDescent="0.4">
      <c r="A513" s="15"/>
      <c r="B513" s="15"/>
      <c r="C513" s="15"/>
      <c r="D513" s="15"/>
      <c r="E513" s="15"/>
      <c r="F513" s="15"/>
      <c r="G513" s="15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x14ac:dyDescent="0.4">
      <c r="A514" s="15"/>
      <c r="B514" s="15"/>
      <c r="C514" s="15"/>
      <c r="D514" s="15"/>
      <c r="E514" s="15"/>
      <c r="F514" s="15"/>
      <c r="G514" s="15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x14ac:dyDescent="0.4">
      <c r="A515" s="15"/>
      <c r="B515" s="15"/>
      <c r="C515" s="15"/>
      <c r="D515" s="15"/>
      <c r="E515" s="15"/>
      <c r="F515" s="15"/>
      <c r="G515" s="15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x14ac:dyDescent="0.4">
      <c r="A516" s="15"/>
      <c r="B516" s="15"/>
      <c r="C516" s="15"/>
      <c r="D516" s="15"/>
      <c r="E516" s="15"/>
      <c r="F516" s="15"/>
      <c r="G516" s="15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x14ac:dyDescent="0.4">
      <c r="A517" s="15"/>
      <c r="B517" s="15"/>
      <c r="C517" s="15"/>
      <c r="D517" s="15"/>
      <c r="E517" s="15"/>
      <c r="F517" s="15"/>
      <c r="G517" s="15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x14ac:dyDescent="0.4">
      <c r="A518" s="15"/>
      <c r="B518" s="15"/>
      <c r="C518" s="15"/>
      <c r="D518" s="15"/>
      <c r="E518" s="15"/>
      <c r="F518" s="15"/>
      <c r="G518" s="15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x14ac:dyDescent="0.4">
      <c r="A519" s="15"/>
      <c r="B519" s="15"/>
      <c r="C519" s="15"/>
      <c r="D519" s="15"/>
      <c r="E519" s="15"/>
      <c r="F519" s="15"/>
      <c r="G519" s="15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x14ac:dyDescent="0.4">
      <c r="A520" s="15"/>
      <c r="B520" s="15"/>
      <c r="C520" s="15"/>
      <c r="D520" s="15"/>
      <c r="E520" s="15"/>
      <c r="F520" s="15"/>
      <c r="G520" s="15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x14ac:dyDescent="0.4">
      <c r="A521" s="15"/>
      <c r="B521" s="15"/>
      <c r="C521" s="15"/>
      <c r="D521" s="15"/>
      <c r="E521" s="15"/>
      <c r="F521" s="15"/>
      <c r="G521" s="15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x14ac:dyDescent="0.4">
      <c r="A522" s="15"/>
      <c r="B522" s="15"/>
      <c r="C522" s="15"/>
      <c r="D522" s="15"/>
      <c r="E522" s="15"/>
      <c r="F522" s="15"/>
      <c r="G522" s="15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x14ac:dyDescent="0.4">
      <c r="A523" s="15"/>
      <c r="B523" s="15"/>
      <c r="C523" s="15"/>
      <c r="D523" s="15"/>
      <c r="E523" s="15"/>
      <c r="F523" s="15"/>
      <c r="G523" s="15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x14ac:dyDescent="0.4">
      <c r="A524" s="15"/>
      <c r="B524" s="15"/>
      <c r="C524" s="15"/>
      <c r="D524" s="15"/>
      <c r="E524" s="15"/>
      <c r="F524" s="15"/>
      <c r="G524" s="15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x14ac:dyDescent="0.4">
      <c r="A525" s="15"/>
      <c r="B525" s="15"/>
      <c r="C525" s="15"/>
      <c r="D525" s="15"/>
      <c r="E525" s="15"/>
      <c r="F525" s="15"/>
      <c r="G525" s="15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x14ac:dyDescent="0.4">
      <c r="A526" s="15"/>
      <c r="B526" s="15"/>
      <c r="C526" s="15"/>
      <c r="D526" s="15"/>
      <c r="E526" s="15"/>
      <c r="F526" s="15"/>
      <c r="G526" s="15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x14ac:dyDescent="0.4">
      <c r="A527" s="15"/>
      <c r="B527" s="15"/>
      <c r="C527" s="15"/>
      <c r="D527" s="15"/>
      <c r="E527" s="15"/>
      <c r="F527" s="15"/>
      <c r="G527" s="15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x14ac:dyDescent="0.4">
      <c r="A528" s="15"/>
      <c r="B528" s="15"/>
      <c r="C528" s="15"/>
      <c r="D528" s="15"/>
      <c r="E528" s="15"/>
      <c r="F528" s="15"/>
      <c r="G528" s="15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x14ac:dyDescent="0.4">
      <c r="A529" s="15"/>
      <c r="B529" s="15"/>
      <c r="C529" s="15"/>
      <c r="D529" s="15"/>
      <c r="E529" s="15"/>
      <c r="F529" s="15"/>
      <c r="G529" s="15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x14ac:dyDescent="0.4">
      <c r="A530" s="15"/>
      <c r="B530" s="15"/>
      <c r="C530" s="15"/>
      <c r="D530" s="15"/>
      <c r="E530" s="15"/>
      <c r="F530" s="15"/>
      <c r="G530" s="15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x14ac:dyDescent="0.4">
      <c r="A531" s="15"/>
      <c r="B531" s="15"/>
      <c r="C531" s="15"/>
      <c r="D531" s="15"/>
      <c r="E531" s="15"/>
      <c r="F531" s="15"/>
      <c r="G531" s="15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x14ac:dyDescent="0.4">
      <c r="A532" s="15"/>
      <c r="B532" s="15"/>
      <c r="C532" s="15"/>
      <c r="D532" s="15"/>
      <c r="E532" s="15"/>
      <c r="F532" s="15"/>
      <c r="G532" s="15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x14ac:dyDescent="0.4">
      <c r="A533" s="15"/>
      <c r="B533" s="15"/>
      <c r="C533" s="15"/>
      <c r="D533" s="15"/>
      <c r="E533" s="15"/>
      <c r="F533" s="15"/>
      <c r="G533" s="15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x14ac:dyDescent="0.4">
      <c r="A534" s="15"/>
      <c r="B534" s="15"/>
      <c r="C534" s="15"/>
      <c r="D534" s="15"/>
      <c r="E534" s="15"/>
      <c r="F534" s="15"/>
      <c r="G534" s="15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x14ac:dyDescent="0.4">
      <c r="A535" s="15"/>
      <c r="B535" s="15"/>
      <c r="C535" s="15"/>
      <c r="D535" s="15"/>
      <c r="E535" s="15"/>
      <c r="F535" s="15"/>
      <c r="G535" s="15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x14ac:dyDescent="0.4">
      <c r="A536" s="15"/>
      <c r="B536" s="15"/>
      <c r="C536" s="15"/>
      <c r="D536" s="15"/>
      <c r="E536" s="15"/>
      <c r="F536" s="15"/>
      <c r="G536" s="15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x14ac:dyDescent="0.4">
      <c r="A537" s="15"/>
      <c r="B537" s="15"/>
      <c r="C537" s="15"/>
      <c r="D537" s="15"/>
      <c r="E537" s="15"/>
      <c r="F537" s="15"/>
      <c r="G537" s="15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x14ac:dyDescent="0.4">
      <c r="A538" s="15"/>
      <c r="B538" s="15"/>
      <c r="C538" s="15"/>
      <c r="D538" s="15"/>
      <c r="E538" s="15"/>
      <c r="F538" s="15"/>
      <c r="G538" s="15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x14ac:dyDescent="0.4">
      <c r="A539" s="15"/>
      <c r="B539" s="15"/>
      <c r="C539" s="15"/>
      <c r="D539" s="15"/>
      <c r="E539" s="15"/>
      <c r="F539" s="15"/>
      <c r="G539" s="15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x14ac:dyDescent="0.4">
      <c r="A540" s="15"/>
      <c r="B540" s="15"/>
      <c r="C540" s="15"/>
      <c r="D540" s="15"/>
      <c r="E540" s="15"/>
      <c r="F540" s="15"/>
      <c r="G540" s="15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x14ac:dyDescent="0.4">
      <c r="A541" s="15"/>
      <c r="B541" s="15"/>
      <c r="C541" s="15"/>
      <c r="D541" s="15"/>
      <c r="E541" s="15"/>
      <c r="F541" s="15"/>
      <c r="G541" s="15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x14ac:dyDescent="0.4">
      <c r="A542" s="15"/>
      <c r="B542" s="15"/>
      <c r="C542" s="15"/>
      <c r="D542" s="15"/>
      <c r="E542" s="15"/>
      <c r="F542" s="15"/>
      <c r="G542" s="15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x14ac:dyDescent="0.4">
      <c r="A543" s="15"/>
      <c r="B543" s="15"/>
      <c r="C543" s="15"/>
      <c r="D543" s="15"/>
      <c r="E543" s="15"/>
      <c r="F543" s="15"/>
      <c r="G543" s="15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x14ac:dyDescent="0.4">
      <c r="A544" s="15"/>
      <c r="B544" s="15"/>
      <c r="C544" s="15"/>
      <c r="D544" s="15"/>
      <c r="E544" s="15"/>
      <c r="F544" s="15"/>
      <c r="G544" s="15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x14ac:dyDescent="0.4">
      <c r="A545" s="15"/>
      <c r="B545" s="15"/>
      <c r="C545" s="15"/>
      <c r="D545" s="15"/>
      <c r="E545" s="15"/>
      <c r="F545" s="15"/>
      <c r="G545" s="15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x14ac:dyDescent="0.4">
      <c r="A546" s="15"/>
      <c r="B546" s="15"/>
      <c r="C546" s="15"/>
      <c r="D546" s="15"/>
      <c r="E546" s="15"/>
      <c r="F546" s="15"/>
      <c r="G546" s="15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x14ac:dyDescent="0.4">
      <c r="A547" s="15"/>
      <c r="B547" s="15"/>
      <c r="C547" s="15"/>
      <c r="D547" s="15"/>
      <c r="E547" s="15"/>
      <c r="F547" s="15"/>
      <c r="G547" s="15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x14ac:dyDescent="0.4">
      <c r="A548" s="15"/>
      <c r="B548" s="15"/>
      <c r="C548" s="15"/>
      <c r="D548" s="15"/>
      <c r="E548" s="15"/>
      <c r="F548" s="15"/>
      <c r="G548" s="15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x14ac:dyDescent="0.4">
      <c r="A549" s="15"/>
      <c r="B549" s="15"/>
      <c r="C549" s="15"/>
      <c r="D549" s="15"/>
      <c r="E549" s="15"/>
      <c r="F549" s="15"/>
      <c r="G549" s="15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x14ac:dyDescent="0.4">
      <c r="A550" s="15"/>
      <c r="B550" s="15"/>
      <c r="C550" s="15"/>
      <c r="D550" s="15"/>
      <c r="E550" s="15"/>
      <c r="F550" s="15"/>
      <c r="G550" s="15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x14ac:dyDescent="0.4">
      <c r="A551" s="15"/>
      <c r="B551" s="15"/>
      <c r="C551" s="15"/>
      <c r="D551" s="15"/>
      <c r="E551" s="15"/>
      <c r="F551" s="15"/>
      <c r="G551" s="15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x14ac:dyDescent="0.4">
      <c r="A552" s="15"/>
      <c r="B552" s="15"/>
      <c r="C552" s="15"/>
      <c r="D552" s="15"/>
      <c r="E552" s="15"/>
      <c r="F552" s="15"/>
      <c r="G552" s="15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x14ac:dyDescent="0.4">
      <c r="A553" s="15"/>
      <c r="B553" s="15"/>
      <c r="C553" s="15"/>
      <c r="D553" s="15"/>
      <c r="E553" s="15"/>
      <c r="F553" s="15"/>
      <c r="G553" s="15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x14ac:dyDescent="0.4">
      <c r="A554" s="15"/>
      <c r="B554" s="15"/>
      <c r="C554" s="15"/>
      <c r="D554" s="15"/>
      <c r="E554" s="15"/>
      <c r="F554" s="15"/>
      <c r="G554" s="15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x14ac:dyDescent="0.4">
      <c r="A555" s="15"/>
      <c r="B555" s="15"/>
      <c r="C555" s="15"/>
      <c r="D555" s="15"/>
      <c r="E555" s="15"/>
      <c r="F555" s="15"/>
      <c r="G555" s="15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x14ac:dyDescent="0.4">
      <c r="A556" s="15"/>
      <c r="B556" s="15"/>
      <c r="C556" s="15"/>
      <c r="D556" s="15"/>
      <c r="E556" s="15"/>
      <c r="F556" s="15"/>
      <c r="G556" s="15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x14ac:dyDescent="0.4">
      <c r="A557" s="15"/>
      <c r="B557" s="15"/>
      <c r="C557" s="15"/>
      <c r="D557" s="15"/>
      <c r="E557" s="15"/>
      <c r="F557" s="15"/>
      <c r="G557" s="15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x14ac:dyDescent="0.4">
      <c r="A558" s="15"/>
      <c r="B558" s="15"/>
      <c r="C558" s="15"/>
      <c r="D558" s="15"/>
      <c r="E558" s="15"/>
      <c r="F558" s="15"/>
      <c r="G558" s="15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x14ac:dyDescent="0.4">
      <c r="A559" s="15"/>
      <c r="B559" s="15"/>
      <c r="C559" s="15"/>
      <c r="D559" s="15"/>
      <c r="E559" s="15"/>
      <c r="F559" s="15"/>
      <c r="G559" s="15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x14ac:dyDescent="0.4">
      <c r="A560" s="15"/>
      <c r="B560" s="15"/>
      <c r="C560" s="15"/>
      <c r="D560" s="15"/>
      <c r="E560" s="15"/>
      <c r="F560" s="15"/>
      <c r="G560" s="15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x14ac:dyDescent="0.4">
      <c r="A561" s="15"/>
      <c r="B561" s="15"/>
      <c r="C561" s="15"/>
      <c r="D561" s="15"/>
      <c r="E561" s="15"/>
      <c r="F561" s="15"/>
      <c r="G561" s="15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x14ac:dyDescent="0.4">
      <c r="A562" s="15"/>
      <c r="B562" s="15"/>
      <c r="C562" s="15"/>
      <c r="D562" s="15"/>
      <c r="E562" s="15"/>
      <c r="F562" s="15"/>
      <c r="G562" s="15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x14ac:dyDescent="0.4">
      <c r="A563" s="15"/>
      <c r="B563" s="15"/>
      <c r="C563" s="15"/>
      <c r="D563" s="15"/>
      <c r="E563" s="15"/>
      <c r="F563" s="15"/>
      <c r="G563" s="15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x14ac:dyDescent="0.4">
      <c r="A564" s="15"/>
      <c r="B564" s="15"/>
      <c r="C564" s="15"/>
      <c r="D564" s="15"/>
      <c r="E564" s="15"/>
      <c r="F564" s="15"/>
      <c r="G564" s="15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</sheetData>
  <mergeCells count="117">
    <mergeCell ref="V33:W33"/>
    <mergeCell ref="T33:U33"/>
    <mergeCell ref="H33:I33"/>
    <mergeCell ref="J33:K33"/>
    <mergeCell ref="L33:M33"/>
    <mergeCell ref="N33:O33"/>
    <mergeCell ref="P33:Q33"/>
    <mergeCell ref="R33:S33"/>
    <mergeCell ref="D30:F30"/>
    <mergeCell ref="D31:F31"/>
    <mergeCell ref="A33:A34"/>
    <mergeCell ref="B33:B34"/>
    <mergeCell ref="C33:C34"/>
    <mergeCell ref="D33:D34"/>
    <mergeCell ref="E33:E34"/>
    <mergeCell ref="F33:F34"/>
    <mergeCell ref="V28:W28"/>
    <mergeCell ref="D29:F29"/>
    <mergeCell ref="H29:I29"/>
    <mergeCell ref="J29:K29"/>
    <mergeCell ref="L29:M29"/>
    <mergeCell ref="N29:O29"/>
    <mergeCell ref="P29:Q29"/>
    <mergeCell ref="R29:S29"/>
    <mergeCell ref="T29:U29"/>
    <mergeCell ref="V29:W29"/>
    <mergeCell ref="J28:K28"/>
    <mergeCell ref="L28:M28"/>
    <mergeCell ref="N28:O28"/>
    <mergeCell ref="P28:Q28"/>
    <mergeCell ref="R28:S28"/>
    <mergeCell ref="T28:U28"/>
    <mergeCell ref="A30:C30"/>
    <mergeCell ref="A31:C31"/>
    <mergeCell ref="D24:F24"/>
    <mergeCell ref="D25:F25"/>
    <mergeCell ref="D26:F26"/>
    <mergeCell ref="D27:F27"/>
    <mergeCell ref="D28:F28"/>
    <mergeCell ref="H28:I28"/>
    <mergeCell ref="V22:W22"/>
    <mergeCell ref="H23:I23"/>
    <mergeCell ref="J23:K23"/>
    <mergeCell ref="L23:M23"/>
    <mergeCell ref="N23:O23"/>
    <mergeCell ref="P23:Q23"/>
    <mergeCell ref="R23:S23"/>
    <mergeCell ref="T23:U23"/>
    <mergeCell ref="V23:W23"/>
    <mergeCell ref="T21:U21"/>
    <mergeCell ref="V21:W21"/>
    <mergeCell ref="H22:I22"/>
    <mergeCell ref="J22:K22"/>
    <mergeCell ref="L22:M22"/>
    <mergeCell ref="N22:O22"/>
    <mergeCell ref="P22:Q22"/>
    <mergeCell ref="R22:S22"/>
    <mergeCell ref="T22:U22"/>
    <mergeCell ref="H21:I21"/>
    <mergeCell ref="J21:K21"/>
    <mergeCell ref="L21:M21"/>
    <mergeCell ref="N21:O21"/>
    <mergeCell ref="P21:Q21"/>
    <mergeCell ref="R21:S21"/>
    <mergeCell ref="H20:I20"/>
    <mergeCell ref="J20:K20"/>
    <mergeCell ref="L20:M20"/>
    <mergeCell ref="N20:O20"/>
    <mergeCell ref="P20:Q20"/>
    <mergeCell ref="H19:I19"/>
    <mergeCell ref="J19:K19"/>
    <mergeCell ref="L19:M19"/>
    <mergeCell ref="N19:O19"/>
    <mergeCell ref="P19:Q19"/>
    <mergeCell ref="R19:S19"/>
    <mergeCell ref="T19:U19"/>
    <mergeCell ref="V19:W19"/>
    <mergeCell ref="R20:S20"/>
    <mergeCell ref="T20:U20"/>
    <mergeCell ref="V20:W20"/>
    <mergeCell ref="P17:Q17"/>
    <mergeCell ref="R17:S17"/>
    <mergeCell ref="T17:U17"/>
    <mergeCell ref="V17:W17"/>
    <mergeCell ref="D18:F18"/>
    <mergeCell ref="H18:I18"/>
    <mergeCell ref="J18:K18"/>
    <mergeCell ref="L18:M18"/>
    <mergeCell ref="N18:O18"/>
    <mergeCell ref="P18:Q18"/>
    <mergeCell ref="R18:S18"/>
    <mergeCell ref="T18:U18"/>
    <mergeCell ref="V18:W18"/>
    <mergeCell ref="A24:C24"/>
    <mergeCell ref="A25:C25"/>
    <mergeCell ref="A26:C26"/>
    <mergeCell ref="A27:C27"/>
    <mergeCell ref="A28:C28"/>
    <mergeCell ref="A29:C29"/>
    <mergeCell ref="A1:W1"/>
    <mergeCell ref="A2:W2"/>
    <mergeCell ref="A3:W3"/>
    <mergeCell ref="A16:C16"/>
    <mergeCell ref="D16:F16"/>
    <mergeCell ref="H16:I16"/>
    <mergeCell ref="J16:K16"/>
    <mergeCell ref="L16:M16"/>
    <mergeCell ref="N16:O16"/>
    <mergeCell ref="P16:Q16"/>
    <mergeCell ref="R16:S16"/>
    <mergeCell ref="T16:U16"/>
    <mergeCell ref="V16:W16"/>
    <mergeCell ref="D17:F17"/>
    <mergeCell ref="H17:I17"/>
    <mergeCell ref="J17:K17"/>
    <mergeCell ref="L17:M17"/>
    <mergeCell ref="N17:O17"/>
  </mergeCells>
  <conditionalFormatting sqref="H34:W34">
    <cfRule type="containsBlanks" priority="42" stopIfTrue="1">
      <formula>LEN(TRIM(H34))=0</formula>
    </cfRule>
  </conditionalFormatting>
  <conditionalFormatting sqref="D29:F29 D30">
    <cfRule type="cellIs" dxfId="67" priority="40" operator="equal">
      <formula>"YES"</formula>
    </cfRule>
    <cfRule type="cellIs" dxfId="66" priority="41" operator="equal">
      <formula>"NO"</formula>
    </cfRule>
  </conditionalFormatting>
  <conditionalFormatting sqref="H29:I30 L29:M30 P29:Q30 T29:U30">
    <cfRule type="cellIs" dxfId="65" priority="38" operator="equal">
      <formula>"YES"</formula>
    </cfRule>
    <cfRule type="cellIs" dxfId="64" priority="39" operator="equal">
      <formula>"NO"</formula>
    </cfRule>
  </conditionalFormatting>
  <conditionalFormatting sqref="J29:K30 N29:O30 R29:S30 V29:W30">
    <cfRule type="cellIs" dxfId="63" priority="36" operator="equal">
      <formula>"YES"</formula>
    </cfRule>
    <cfRule type="cellIs" dxfId="62" priority="37" operator="equal">
      <formula>"NO"</formula>
    </cfRule>
  </conditionalFormatting>
  <conditionalFormatting sqref="A98:A234">
    <cfRule type="expression" dxfId="61" priority="35">
      <formula>COUNTA($A90:$A291)=0</formula>
    </cfRule>
  </conditionalFormatting>
  <conditionalFormatting sqref="E23:F23">
    <cfRule type="cellIs" dxfId="60" priority="34" operator="greaterThan">
      <formula>0</formula>
    </cfRule>
  </conditionalFormatting>
  <conditionalFormatting sqref="H23:I23">
    <cfRule type="cellIs" dxfId="59" priority="33" operator="greaterThan">
      <formula>0</formula>
    </cfRule>
  </conditionalFormatting>
  <conditionalFormatting sqref="J23:W23">
    <cfRule type="cellIs" dxfId="58" priority="32" operator="greaterThan">
      <formula>0</formula>
    </cfRule>
  </conditionalFormatting>
  <conditionalFormatting sqref="D18:F18">
    <cfRule type="cellIs" dxfId="57" priority="31" operator="greaterThan">
      <formula>0</formula>
    </cfRule>
  </conditionalFormatting>
  <conditionalFormatting sqref="H18:I18">
    <cfRule type="cellIs" dxfId="56" priority="30" operator="greaterThan">
      <formula>0</formula>
    </cfRule>
  </conditionalFormatting>
  <conditionalFormatting sqref="J18:W18">
    <cfRule type="cellIs" dxfId="55" priority="29" operator="greaterThan">
      <formula>0</formula>
    </cfRule>
  </conditionalFormatting>
  <conditionalFormatting sqref="D35:F234">
    <cfRule type="cellIs" dxfId="54" priority="28" operator="equal">
      <formula>"FAIL"</formula>
    </cfRule>
  </conditionalFormatting>
  <conditionalFormatting sqref="F35:F40">
    <cfRule type="cellIs" dxfId="53" priority="27" operator="equal">
      <formula>"FCD"</formula>
    </cfRule>
  </conditionalFormatting>
  <conditionalFormatting sqref="F35:F234">
    <cfRule type="cellIs" dxfId="52" priority="26" operator="equal">
      <formula>"FCD"</formula>
    </cfRule>
  </conditionalFormatting>
  <conditionalFormatting sqref="H98:W234 H91:R97 V91:V97">
    <cfRule type="expression" dxfId="51" priority="25">
      <formula>"A2&lt;$D$28&amp;A2&gt;0"</formula>
    </cfRule>
  </conditionalFormatting>
  <conditionalFormatting sqref="V36 V37:W48 V49:V89 H35:S36 U35:V35 H37:R89 S37:S97">
    <cfRule type="cellIs" dxfId="50" priority="24" operator="lessThan">
      <formula>18</formula>
    </cfRule>
  </conditionalFormatting>
  <conditionalFormatting sqref="U36:U97">
    <cfRule type="cellIs" dxfId="49" priority="23" operator="lessThan">
      <formula>18</formula>
    </cfRule>
  </conditionalFormatting>
  <conditionalFormatting sqref="W35:W36">
    <cfRule type="cellIs" dxfId="48" priority="22" operator="lessThan">
      <formula>18</formula>
    </cfRule>
  </conditionalFormatting>
  <conditionalFormatting sqref="W49:W97">
    <cfRule type="cellIs" dxfId="47" priority="21" operator="lessThan">
      <formula>18</formula>
    </cfRule>
  </conditionalFormatting>
  <conditionalFormatting sqref="U90:W97 B90:R97">
    <cfRule type="cellIs" dxfId="46" priority="20" operator="lessThan">
      <formula>18</formula>
    </cfRule>
  </conditionalFormatting>
  <conditionalFormatting sqref="T35:T97">
    <cfRule type="cellIs" dxfId="45" priority="18" operator="lessThan">
      <formula>18</formula>
    </cfRule>
  </conditionalFormatting>
  <conditionalFormatting sqref="X34:Y34">
    <cfRule type="containsBlanks" priority="16" stopIfTrue="1">
      <formula>LEN(TRIM(X34))=0</formula>
    </cfRule>
  </conditionalFormatting>
  <conditionalFormatting sqref="X29:Y30">
    <cfRule type="cellIs" dxfId="44" priority="14" operator="equal">
      <formula>"YES"</formula>
    </cfRule>
    <cfRule type="cellIs" dxfId="43" priority="15" operator="equal">
      <formula>"NO"</formula>
    </cfRule>
  </conditionalFormatting>
  <conditionalFormatting sqref="X23:Y23">
    <cfRule type="cellIs" dxfId="42" priority="13" operator="greaterThan">
      <formula>0</formula>
    </cfRule>
  </conditionalFormatting>
  <conditionalFormatting sqref="X18:Y18">
    <cfRule type="cellIs" dxfId="41" priority="12" operator="greaterThan">
      <formula>0</formula>
    </cfRule>
  </conditionalFormatting>
  <conditionalFormatting sqref="X98:Y234 X91:X97">
    <cfRule type="expression" dxfId="40" priority="11">
      <formula>"A2&lt;$D$28&amp;A2&gt;0"</formula>
    </cfRule>
  </conditionalFormatting>
  <conditionalFormatting sqref="X37:Y37 X49:X89 X35:X36 X39:Y39 X38 X43:Y43 X40:X42 X48:Y48 X44:X47">
    <cfRule type="cellIs" dxfId="39" priority="10" operator="lessThan">
      <formula>18</formula>
    </cfRule>
  </conditionalFormatting>
  <conditionalFormatting sqref="Y35:Y36">
    <cfRule type="cellIs" dxfId="38" priority="9" operator="lessThan">
      <formula>18</formula>
    </cfRule>
  </conditionalFormatting>
  <conditionalFormatting sqref="X90:X97">
    <cfRule type="cellIs" dxfId="37" priority="7" operator="lessThan">
      <formula>18</formula>
    </cfRule>
  </conditionalFormatting>
  <conditionalFormatting sqref="Y38">
    <cfRule type="cellIs" dxfId="36" priority="6" operator="lessThan">
      <formula>18</formula>
    </cfRule>
  </conditionalFormatting>
  <conditionalFormatting sqref="Y40:Y42">
    <cfRule type="cellIs" dxfId="35" priority="5" operator="lessThan">
      <formula>18</formula>
    </cfRule>
  </conditionalFormatting>
  <conditionalFormatting sqref="Y44:Y47">
    <cfRule type="cellIs" dxfId="34" priority="4" operator="lessThan">
      <formula>18</formula>
    </cfRule>
  </conditionalFormatting>
  <conditionalFormatting sqref="Y49:Y97">
    <cfRule type="cellIs" dxfId="33" priority="3" operator="lessThan">
      <formula>18</formula>
    </cfRule>
  </conditionalFormatting>
  <conditionalFormatting sqref="H35:X554">
    <cfRule type="cellIs" dxfId="32" priority="2" operator="equal">
      <formula>"A"</formula>
    </cfRule>
  </conditionalFormatting>
  <conditionalFormatting sqref="H35:Y97">
    <cfRule type="cellIs" dxfId="31" priority="1" operator="equal">
      <formula>""""""</formula>
    </cfRule>
  </conditionalFormatting>
  <printOptions horizontalCentered="1"/>
  <pageMargins left="0" right="0" top="0.39370078740157483" bottom="0" header="0" footer="0"/>
  <pageSetup paperSize="9" orientation="landscape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3"/>
  <sheetViews>
    <sheetView tabSelected="1" view="pageLayout" topLeftCell="A32" zoomScale="90" zoomScaleNormal="85" zoomScalePageLayoutView="90" workbookViewId="0">
      <selection activeCell="E42" sqref="E35:E42"/>
    </sheetView>
  </sheetViews>
  <sheetFormatPr defaultRowHeight="14.6" x14ac:dyDescent="0.4"/>
  <cols>
    <col min="1" max="1" width="4" style="1" customWidth="1"/>
    <col min="2" max="2" width="12.921875" style="1" customWidth="1"/>
    <col min="3" max="3" width="17.07421875" style="1" customWidth="1"/>
    <col min="4" max="4" width="7" style="1" customWidth="1"/>
    <col min="5" max="5" width="6.23046875" style="1" customWidth="1"/>
    <col min="6" max="6" width="4.765625" style="1" customWidth="1"/>
    <col min="7" max="7" width="1.3046875" style="1" customWidth="1"/>
    <col min="8" max="8" width="4.23046875" style="3" customWidth="1"/>
    <col min="9" max="9" width="3.84375" style="3" customWidth="1"/>
    <col min="10" max="10" width="4" style="3" customWidth="1"/>
    <col min="11" max="12" width="3.69140625" style="3" customWidth="1"/>
    <col min="13" max="13" width="3.61328125" style="3" customWidth="1"/>
    <col min="14" max="14" width="3.53515625" style="3" customWidth="1"/>
    <col min="15" max="15" width="3.23046875" style="3" customWidth="1"/>
    <col min="16" max="16" width="3.765625" style="3" customWidth="1"/>
    <col min="17" max="17" width="3.15234375" style="3" customWidth="1"/>
    <col min="18" max="18" width="3.69140625" style="3" customWidth="1"/>
    <col min="19" max="19" width="3.53515625" style="3" customWidth="1"/>
    <col min="20" max="20" width="4.53515625" style="3" customWidth="1"/>
    <col min="21" max="21" width="3" style="3" customWidth="1"/>
    <col min="22" max="22" width="5.69140625" style="3" customWidth="1"/>
    <col min="23" max="23" width="3.53515625" style="3" customWidth="1"/>
    <col min="24" max="24" width="7.3046875" style="3" customWidth="1"/>
    <col min="25" max="25" width="9.23046875" style="64"/>
  </cols>
  <sheetData>
    <row r="1" spans="1:24" ht="78.45" customHeight="1" x14ac:dyDescent="0.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97"/>
    </row>
    <row r="2" spans="1:24" ht="18.899999999999999" customHeight="1" x14ac:dyDescent="0.7">
      <c r="A2" s="151" t="s">
        <v>44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98"/>
    </row>
    <row r="3" spans="1:24" ht="21.9" customHeight="1" x14ac:dyDescent="0.45">
      <c r="A3" s="152" t="s">
        <v>206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99"/>
    </row>
    <row r="4" spans="1:24" ht="4.2" customHeight="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45" x14ac:dyDescent="0.4">
      <c r="A5" s="28" t="s">
        <v>1</v>
      </c>
      <c r="B5" s="28" t="s">
        <v>2</v>
      </c>
      <c r="C5" s="53" t="s">
        <v>3</v>
      </c>
      <c r="D5" s="53"/>
      <c r="E5" s="15"/>
      <c r="F5" s="29" t="s">
        <v>4</v>
      </c>
      <c r="G5" s="28"/>
      <c r="H5" s="18"/>
      <c r="I5" s="28"/>
      <c r="J5" s="28"/>
      <c r="K5" s="18"/>
      <c r="L5" s="18"/>
      <c r="M5" s="6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15" customHeight="1" x14ac:dyDescent="0.4">
      <c r="A6" s="68">
        <f>IF(B6&lt;&gt;"",COUNTA($B6:B$6),"")</f>
        <v>1</v>
      </c>
      <c r="B6" s="47" t="s">
        <v>207</v>
      </c>
      <c r="C6" s="48" t="s">
        <v>215</v>
      </c>
      <c r="D6" s="5"/>
      <c r="E6" s="5"/>
      <c r="F6" s="5" t="s">
        <v>225</v>
      </c>
      <c r="G6" s="5"/>
      <c r="H6" s="5"/>
      <c r="I6" s="5"/>
      <c r="J6" s="5"/>
      <c r="K6" s="20"/>
      <c r="L6" s="21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16.3" customHeight="1" x14ac:dyDescent="0.4">
      <c r="A7" s="68">
        <f>IF(B7&lt;&gt;"",COUNTA($B$6:B7),"")</f>
        <v>2</v>
      </c>
      <c r="B7" s="47" t="s">
        <v>208</v>
      </c>
      <c r="C7" s="48" t="s">
        <v>216</v>
      </c>
      <c r="D7" s="48"/>
      <c r="E7" s="48"/>
      <c r="F7" s="48" t="s">
        <v>226</v>
      </c>
      <c r="G7" s="48"/>
      <c r="H7" s="48"/>
      <c r="I7" s="48"/>
      <c r="J7" s="48"/>
      <c r="K7" s="20"/>
      <c r="L7" s="21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18.45" customHeight="1" x14ac:dyDescent="0.4">
      <c r="A8" s="68">
        <f>IF(B8&lt;&gt;"",COUNTA($B$6:B8),"")</f>
        <v>3</v>
      </c>
      <c r="B8" s="47" t="s">
        <v>209</v>
      </c>
      <c r="C8" s="48" t="s">
        <v>217</v>
      </c>
      <c r="D8" s="48"/>
      <c r="E8" s="48"/>
      <c r="F8" s="48" t="s">
        <v>197</v>
      </c>
      <c r="G8" s="48"/>
      <c r="H8" s="48"/>
      <c r="I8" s="48"/>
      <c r="J8" s="48"/>
      <c r="K8" s="20"/>
      <c r="L8" s="21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3.3" customHeight="1" x14ac:dyDescent="0.4">
      <c r="A9" s="68">
        <f>IF(B9&lt;&gt;"",COUNTA($B$6:B9),"")</f>
        <v>4</v>
      </c>
      <c r="B9" s="47" t="s">
        <v>210</v>
      </c>
      <c r="C9" s="48" t="s">
        <v>218</v>
      </c>
      <c r="D9" s="48"/>
      <c r="E9" s="48"/>
      <c r="F9" s="48" t="s">
        <v>195</v>
      </c>
      <c r="G9" s="48"/>
      <c r="H9" s="48"/>
      <c r="I9" s="48"/>
      <c r="J9" s="48"/>
      <c r="K9" s="20"/>
      <c r="L9" s="21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4.15" customHeight="1" x14ac:dyDescent="0.4">
      <c r="A10" s="68">
        <f>IF(B10&lt;&gt;"",COUNTA($B$6:B10),"")</f>
        <v>5</v>
      </c>
      <c r="B10" s="47" t="s">
        <v>211</v>
      </c>
      <c r="C10" s="48" t="s">
        <v>219</v>
      </c>
      <c r="D10" s="48"/>
      <c r="E10" s="48"/>
      <c r="F10" s="48" t="s">
        <v>200</v>
      </c>
      <c r="G10" s="48"/>
      <c r="H10" s="48"/>
      <c r="I10" s="48"/>
      <c r="J10" s="48"/>
      <c r="K10" s="20"/>
      <c r="L10" s="21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7.600000000000001" x14ac:dyDescent="0.4">
      <c r="A11" s="68">
        <f>IF(B11&lt;&gt;"",COUNTA($B$6:B11),"")</f>
        <v>6</v>
      </c>
      <c r="B11" s="47" t="s">
        <v>212</v>
      </c>
      <c r="C11" s="56" t="s">
        <v>220</v>
      </c>
      <c r="D11" s="48"/>
      <c r="E11" s="48"/>
      <c r="F11" s="48" t="s">
        <v>227</v>
      </c>
      <c r="G11" s="48"/>
      <c r="H11" s="48"/>
      <c r="I11" s="48"/>
      <c r="J11" s="48"/>
      <c r="K11" s="20"/>
      <c r="L11" s="21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8.899999999999999" customHeight="1" x14ac:dyDescent="0.4">
      <c r="A12" s="68">
        <f>IF(B12&lt;&gt;"",COUNTA($B$6:B12),"")</f>
        <v>7</v>
      </c>
      <c r="B12" s="47" t="s">
        <v>223</v>
      </c>
      <c r="C12" s="48" t="s">
        <v>222</v>
      </c>
      <c r="D12" s="48"/>
      <c r="E12" s="48"/>
      <c r="F12" s="48" t="s">
        <v>199</v>
      </c>
      <c r="G12" s="48"/>
      <c r="H12" s="48"/>
      <c r="I12" s="48"/>
      <c r="J12" s="48"/>
      <c r="K12" s="20"/>
      <c r="L12" s="21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21.45" customHeight="1" x14ac:dyDescent="0.4">
      <c r="A13" s="68">
        <f>IF(B13&lt;&gt;"",COUNTA($B$6:B13),"")</f>
        <v>8</v>
      </c>
      <c r="B13" s="47" t="s">
        <v>214</v>
      </c>
      <c r="C13" s="48" t="s">
        <v>221</v>
      </c>
      <c r="D13" s="48"/>
      <c r="E13" s="48"/>
      <c r="F13" s="48" t="s">
        <v>199</v>
      </c>
      <c r="G13" s="48"/>
      <c r="H13" s="48"/>
      <c r="I13" s="48"/>
      <c r="J13" s="48"/>
      <c r="K13" s="20"/>
      <c r="L13" s="21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7.149999999999999" customHeight="1" x14ac:dyDescent="0.4">
      <c r="A14" s="68">
        <f>IF(B14&lt;&gt;"",COUNTA($B$6:B14),"")</f>
        <v>9</v>
      </c>
      <c r="B14" s="47" t="s">
        <v>213</v>
      </c>
      <c r="C14" s="48" t="s">
        <v>224</v>
      </c>
      <c r="D14" s="48"/>
      <c r="E14" s="48"/>
      <c r="F14" s="47" t="s">
        <v>200</v>
      </c>
      <c r="G14" s="48"/>
      <c r="H14" s="51"/>
      <c r="I14" s="48"/>
      <c r="J14" s="48"/>
      <c r="K14" s="20"/>
      <c r="L14" s="24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6.75" customHeight="1" x14ac:dyDescent="0.4">
      <c r="A15" s="68"/>
      <c r="B15" s="47"/>
      <c r="C15" s="48"/>
      <c r="D15" s="48"/>
      <c r="E15" s="48"/>
      <c r="F15" s="47"/>
      <c r="G15" s="48"/>
      <c r="H15" s="51"/>
      <c r="I15" s="48"/>
      <c r="J15" s="48"/>
      <c r="K15" s="20"/>
      <c r="L15" s="24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22.2" customHeight="1" x14ac:dyDescent="0.4">
      <c r="A16" s="153" t="s">
        <v>5</v>
      </c>
      <c r="B16" s="153"/>
      <c r="C16" s="153"/>
      <c r="D16" s="154" t="s">
        <v>6</v>
      </c>
      <c r="E16" s="155"/>
      <c r="F16" s="156"/>
      <c r="G16" s="12"/>
      <c r="H16" s="157" t="str">
        <f>IF(B6=0,"",B6)</f>
        <v>BEC401</v>
      </c>
      <c r="I16" s="157"/>
      <c r="J16" s="157" t="str">
        <f>IF(B7=0,"",B7)</f>
        <v>BEC402</v>
      </c>
      <c r="K16" s="157"/>
      <c r="L16" s="157" t="str">
        <f>IF(B8=0,"",B8)</f>
        <v>BEC403</v>
      </c>
      <c r="M16" s="157"/>
      <c r="N16" s="157" t="str">
        <f>IF(B9=0,"",B9)</f>
        <v>BECL404</v>
      </c>
      <c r="O16" s="157"/>
      <c r="P16" s="157" t="str">
        <f>IF(B10=0,"",B10)</f>
        <v>BBOK407</v>
      </c>
      <c r="Q16" s="157"/>
      <c r="R16" s="157" t="str">
        <f>IF(B11=0,"",B11)</f>
        <v>BUHK408</v>
      </c>
      <c r="S16" s="157"/>
      <c r="T16" s="157" t="str">
        <f>IF(B12=0,"",B12)</f>
        <v>BNSK405C</v>
      </c>
      <c r="U16" s="157"/>
      <c r="V16" s="157" t="str">
        <f>IF(B13=0,"",B13)</f>
        <v>BECL456A</v>
      </c>
      <c r="W16" s="158"/>
      <c r="X16" s="104" t="str">
        <f>B14</f>
        <v>BNSK459</v>
      </c>
    </row>
    <row r="17" spans="1:24" ht="14.4" customHeight="1" x14ac:dyDescent="0.4">
      <c r="A17" s="9" t="s">
        <v>7</v>
      </c>
      <c r="B17" s="9"/>
      <c r="C17" s="9"/>
      <c r="D17" s="159">
        <f>(D18/E19)*100</f>
        <v>46.031746031746032</v>
      </c>
      <c r="E17" s="159"/>
      <c r="F17" s="159"/>
      <c r="G17" s="52"/>
      <c r="H17" s="160">
        <f>IFERROR((H18/H19)*100,"")</f>
        <v>47.619047619047613</v>
      </c>
      <c r="I17" s="160"/>
      <c r="J17" s="160">
        <f>IFERROR((J18/J19)*100,"")</f>
        <v>84.126984126984127</v>
      </c>
      <c r="K17" s="160"/>
      <c r="L17" s="160">
        <f>IFERROR((L18/L19)*100,"")</f>
        <v>77.777777777777786</v>
      </c>
      <c r="M17" s="160"/>
      <c r="N17" s="176">
        <f>IFERROR((N18/N19)*100,"")</f>
        <v>100</v>
      </c>
      <c r="O17" s="176"/>
      <c r="P17" s="160">
        <f>IFERROR((P18/P19)*100,"")</f>
        <v>90.476190476190482</v>
      </c>
      <c r="Q17" s="160"/>
      <c r="R17" s="160">
        <f>IFERROR((R18/R19)*100,"")</f>
        <v>100</v>
      </c>
      <c r="S17" s="160"/>
      <c r="T17" s="160">
        <f>IFERROR((T18/T19)*100,"")</f>
        <v>93.650793650793645</v>
      </c>
      <c r="U17" s="160"/>
      <c r="V17" s="160">
        <f>IFERROR((V18/V19)*100, "")</f>
        <v>100</v>
      </c>
      <c r="W17" s="160"/>
      <c r="X17" s="107">
        <f>IFERROR((X18/X19)*100, "")</f>
        <v>100</v>
      </c>
    </row>
    <row r="18" spans="1:24" ht="15" customHeight="1" x14ac:dyDescent="0.4">
      <c r="A18" s="10" t="s">
        <v>8</v>
      </c>
      <c r="B18" s="10"/>
      <c r="C18" s="10"/>
      <c r="D18" s="161">
        <f>COUNTIF(E35:E233,"PASS")</f>
        <v>29</v>
      </c>
      <c r="E18" s="161"/>
      <c r="F18" s="161"/>
      <c r="G18" s="8"/>
      <c r="H18" s="137">
        <f>COUNTIF(I35:I233,"&gt;=18")</f>
        <v>30</v>
      </c>
      <c r="I18" s="137"/>
      <c r="J18" s="137">
        <f>COUNTIF(K35:K233,"&gt;=18")</f>
        <v>53</v>
      </c>
      <c r="K18" s="137"/>
      <c r="L18" s="137">
        <f>COUNTIF(M35:M233,"&gt;=18")</f>
        <v>49</v>
      </c>
      <c r="M18" s="137"/>
      <c r="N18" s="137">
        <f>COUNTIF(O35:O233,"&gt;=18")</f>
        <v>63</v>
      </c>
      <c r="O18" s="137"/>
      <c r="P18" s="137">
        <f>COUNTIF(Q35:Q233,"&gt;=18")</f>
        <v>57</v>
      </c>
      <c r="Q18" s="137"/>
      <c r="R18" s="137">
        <f>COUNTIF(S35:S233,"&gt;=18")</f>
        <v>63</v>
      </c>
      <c r="S18" s="137"/>
      <c r="T18" s="137">
        <f>COUNTIF(U35:U233,"&gt;=18")</f>
        <v>59</v>
      </c>
      <c r="U18" s="137"/>
      <c r="V18" s="137">
        <f>COUNTIF(W35:W233,"&gt;=18")</f>
        <v>63</v>
      </c>
      <c r="W18" s="137"/>
      <c r="X18" s="101">
        <f>COUNTIF(X35:X233,"&gt;=18")</f>
        <v>63</v>
      </c>
    </row>
    <row r="19" spans="1:24" ht="14.4" customHeight="1" x14ac:dyDescent="0.4">
      <c r="A19" s="10" t="s">
        <v>9</v>
      </c>
      <c r="B19" s="10"/>
      <c r="C19" s="11"/>
      <c r="D19" s="55"/>
      <c r="E19" s="54">
        <f>COUNT(D35:D233)</f>
        <v>63</v>
      </c>
      <c r="F19" s="50"/>
      <c r="G19" s="27"/>
      <c r="H19" s="137">
        <f>COUNT(I35:I233)</f>
        <v>63</v>
      </c>
      <c r="I19" s="137"/>
      <c r="J19" s="137">
        <f>COUNT(K35:K233)</f>
        <v>63</v>
      </c>
      <c r="K19" s="137"/>
      <c r="L19" s="137">
        <f>COUNT(M35:M233)</f>
        <v>63</v>
      </c>
      <c r="M19" s="137"/>
      <c r="N19" s="137">
        <f>COUNT(O35:O233)</f>
        <v>63</v>
      </c>
      <c r="O19" s="137"/>
      <c r="P19" s="137">
        <f>COUNT(Q35:Q233)</f>
        <v>63</v>
      </c>
      <c r="Q19" s="137"/>
      <c r="R19" s="137">
        <f>COUNT(S35:S233)</f>
        <v>63</v>
      </c>
      <c r="S19" s="137"/>
      <c r="T19" s="137">
        <f>COUNT(U35:U233)</f>
        <v>63</v>
      </c>
      <c r="U19" s="137"/>
      <c r="V19" s="137">
        <f>COUNT(W35:W233)</f>
        <v>63</v>
      </c>
      <c r="W19" s="137"/>
      <c r="X19" s="101">
        <f>COUNT(X35:X233)</f>
        <v>63</v>
      </c>
    </row>
    <row r="20" spans="1:24" ht="15.9" customHeight="1" x14ac:dyDescent="0.4">
      <c r="A20" s="10" t="s">
        <v>10</v>
      </c>
      <c r="B20" s="10"/>
      <c r="C20" s="11"/>
      <c r="D20" s="55"/>
      <c r="E20" s="54">
        <f>COUNTIF(F35:F233,"FCD")</f>
        <v>26</v>
      </c>
      <c r="F20" s="50"/>
      <c r="G20" s="27"/>
      <c r="H20" s="137">
        <f>SUMPRODUCT(--(H35:H233 + I35:I233 &gt;= 70))</f>
        <v>3</v>
      </c>
      <c r="I20" s="137"/>
      <c r="J20" s="162">
        <f>SUMPRODUCT(--(J35:J233 + K35:K233 &gt;= 70))</f>
        <v>16</v>
      </c>
      <c r="K20" s="162"/>
      <c r="L20" s="137">
        <f>SUMPRODUCT(--(L35:L233 + M35:M233 &gt;= 70))</f>
        <v>13</v>
      </c>
      <c r="M20" s="137"/>
      <c r="N20" s="137">
        <f>SUMPRODUCT(--(N35:N233 + O35:O233 &gt;= 70))</f>
        <v>52</v>
      </c>
      <c r="O20" s="137"/>
      <c r="P20" s="137">
        <f>SUMPRODUCT(--(P35:P233 + Q35:Q233 &gt;= 70))</f>
        <v>30</v>
      </c>
      <c r="Q20" s="137"/>
      <c r="R20" s="137">
        <f>SUMPRODUCT(--(R35:R233 + S35:S233 &gt;= 70))</f>
        <v>43</v>
      </c>
      <c r="S20" s="137"/>
      <c r="T20" s="137">
        <f>SUMPRODUCT(--(T35:T233 + U35:U233 &gt;= 70))</f>
        <v>35</v>
      </c>
      <c r="U20" s="137"/>
      <c r="V20" s="137">
        <f>SUMPRODUCT(--(V35:V233 + W35:W233 &gt;= 70))</f>
        <v>57</v>
      </c>
      <c r="W20" s="137"/>
      <c r="X20" s="101">
        <f>SUMPRODUCT(--(ISNUMBER(X35:X233)) &gt;= 70)</f>
        <v>0</v>
      </c>
    </row>
    <row r="21" spans="1:24" ht="15.9" customHeight="1" x14ac:dyDescent="0.4">
      <c r="A21" s="11" t="s">
        <v>11</v>
      </c>
      <c r="B21" s="116"/>
      <c r="C21" s="117"/>
      <c r="D21" s="55"/>
      <c r="E21" s="54">
        <f>COUNTIF(F35:F233,"FC")</f>
        <v>3</v>
      </c>
      <c r="F21" s="50"/>
      <c r="G21" s="27"/>
      <c r="H21" s="137">
        <f>SUMPRODUCT(--((H35:H233 + I35:I233) &gt;=60), --((H35:H233 + I35:I233) &lt; 70))</f>
        <v>18</v>
      </c>
      <c r="I21" s="137"/>
      <c r="J21" s="137">
        <f>SUMPRODUCT(--((J35:J233 + K35:K233) &gt;=60), --((J35:J233 + K35:K233) &lt; 70))</f>
        <v>23</v>
      </c>
      <c r="K21" s="137"/>
      <c r="L21" s="137">
        <f>SUMPRODUCT(--((L35:L233 + M35:M233) &gt;=60), --((L35:L233 + M35:M233) &lt; 70))</f>
        <v>18</v>
      </c>
      <c r="M21" s="137"/>
      <c r="N21" s="137">
        <f>SUMPRODUCT(--((N35:N233 + O35:O233) &gt;=60), --((N35:N233 + O35:O233) &lt; 70))</f>
        <v>8</v>
      </c>
      <c r="O21" s="137"/>
      <c r="P21" s="137">
        <f>SUMPRODUCT(--((P35:P233 + Q35:Q233) &gt;=60), --((P35:P233 + Q35:Q233) &lt; 70))</f>
        <v>21</v>
      </c>
      <c r="Q21" s="137"/>
      <c r="R21" s="137">
        <f>SUMPRODUCT(--((R35:R233 + S35:S233) &gt;=60), --((R35:R233 + S35:S233) &lt; 70))</f>
        <v>17</v>
      </c>
      <c r="S21" s="137"/>
      <c r="T21" s="137">
        <f>SUMPRODUCT(--((T35:T233 + U35:U233) &gt;=60), --((T35:T233 + U35:U233) &lt; 70))</f>
        <v>11</v>
      </c>
      <c r="U21" s="137"/>
      <c r="V21" s="137">
        <f>SUMPRODUCT(--((V35:V233 + W35:W233) &gt;=60), --((V35:V233 + W35:W233) &lt; 70))</f>
        <v>5</v>
      </c>
      <c r="W21" s="137"/>
      <c r="X21" s="101">
        <f>SUMPRODUCT(--((X35:X233) &gt;=60), --((X35:X233) &lt; 70))</f>
        <v>0</v>
      </c>
    </row>
    <row r="22" spans="1:24" ht="16.75" customHeight="1" x14ac:dyDescent="0.4">
      <c r="A22" s="11" t="s">
        <v>12</v>
      </c>
      <c r="B22" s="116"/>
      <c r="C22" s="117"/>
      <c r="D22" s="55"/>
      <c r="E22" s="54">
        <f>COUNTIF(F35:F233,"SC")</f>
        <v>0</v>
      </c>
      <c r="F22" s="50"/>
      <c r="G22" s="27"/>
      <c r="H22" s="137">
        <f>SUMPRODUCT(--((H35:H233 + I35:I233) &gt; 0), --((H35:H233 + I35:I233) &lt; 60))</f>
        <v>42</v>
      </c>
      <c r="I22" s="137"/>
      <c r="J22" s="137">
        <f>SUMPRODUCT(--((J35:J233 + K35:K233) &gt; 0), --((J35:J233 + K35:K233) &lt; 60))</f>
        <v>24</v>
      </c>
      <c r="K22" s="137"/>
      <c r="L22" s="137">
        <f>SUMPRODUCT(--((L35:L233 + M35:M233) &gt; 0), --((L35:L233 + M35:M233) &lt; 60))</f>
        <v>32</v>
      </c>
      <c r="M22" s="137"/>
      <c r="N22" s="137">
        <f>SUMPRODUCT(--((N35:N233 + O35:O233) &gt; 0), --((N35:N233 + O35:O233) &lt; 60))</f>
        <v>3</v>
      </c>
      <c r="O22" s="137"/>
      <c r="P22" s="137">
        <f>SUMPRODUCT(--((P35:P233 + Q35:Q233) &gt; 0), --((P35:P233 + Q35:Q233) &lt; 60))</f>
        <v>12</v>
      </c>
      <c r="Q22" s="137"/>
      <c r="R22" s="137">
        <f>SUMPRODUCT(--((R35:R233 + S35:S233) &gt; 0), --((R35:R233 + S35:S233) &lt; 60))</f>
        <v>3</v>
      </c>
      <c r="S22" s="137"/>
      <c r="T22" s="137">
        <f>SUMPRODUCT(--((T35:T233 + U35:U233) &gt; 0), --((T35:T233 + U35:U233) &lt; 60))</f>
        <v>17</v>
      </c>
      <c r="U22" s="137"/>
      <c r="V22" s="137">
        <f>SUMPRODUCT(--((V35:V233 + W35:W233) &gt; 0), --((V35:V233 + W35:W233) &lt; 60))</f>
        <v>1</v>
      </c>
      <c r="W22" s="137"/>
      <c r="X22" s="101">
        <f>SUMPRODUCT(--((X35:X233) &gt; 0), --((X35:X233) &lt; 60))</f>
        <v>0</v>
      </c>
    </row>
    <row r="23" spans="1:24" ht="15.45" customHeight="1" x14ac:dyDescent="0.4">
      <c r="A23" s="10" t="s">
        <v>13</v>
      </c>
      <c r="B23" s="10"/>
      <c r="C23" s="11"/>
      <c r="D23" s="55"/>
      <c r="E23" s="54">
        <f>COUNTIF(E35:E233,"FAIL")</f>
        <v>34</v>
      </c>
      <c r="F23" s="50"/>
      <c r="G23" s="27"/>
      <c r="H23" s="138">
        <f>COUNTIF(I35:I233,"&lt;18")</f>
        <v>33</v>
      </c>
      <c r="I23" s="139"/>
      <c r="J23" s="138">
        <f>COUNTIF(K35:K233,"&lt;18")</f>
        <v>10</v>
      </c>
      <c r="K23" s="139"/>
      <c r="L23" s="138">
        <f>COUNTIF(M35:M233,"&lt;18")</f>
        <v>14</v>
      </c>
      <c r="M23" s="139"/>
      <c r="N23" s="138">
        <f>COUNTIF(O35:O233,"&lt;18")</f>
        <v>0</v>
      </c>
      <c r="O23" s="139"/>
      <c r="P23" s="138">
        <f>COUNTIF(Q35:Q233,"&lt;18")</f>
        <v>6</v>
      </c>
      <c r="Q23" s="139"/>
      <c r="R23" s="138">
        <f>COUNTIF(S35:S233,"&lt;18")</f>
        <v>0</v>
      </c>
      <c r="S23" s="139"/>
      <c r="T23" s="138">
        <f>COUNTIF(U35:U233,"&lt;18")</f>
        <v>4</v>
      </c>
      <c r="U23" s="139"/>
      <c r="V23" s="138">
        <f>COUNTIF(W35:W233,"&lt;18")</f>
        <v>0</v>
      </c>
      <c r="W23" s="139"/>
      <c r="X23" s="101">
        <f>COUNTIF(X35:X233,"&lt;18")</f>
        <v>0</v>
      </c>
    </row>
    <row r="24" spans="1:24" ht="14.4" customHeight="1" x14ac:dyDescent="0.4">
      <c r="A24" s="148" t="s">
        <v>14</v>
      </c>
      <c r="B24" s="149"/>
      <c r="C24" s="150"/>
      <c r="D24" s="163">
        <f>MAX(D35:D233)</f>
        <v>88.777777777777771</v>
      </c>
      <c r="E24" s="163"/>
      <c r="F24" s="163"/>
      <c r="G24" s="8"/>
      <c r="H24" s="100">
        <f t="shared" ref="H24:X24" si="0">MAX(H35:H233)</f>
        <v>50</v>
      </c>
      <c r="I24" s="100">
        <f t="shared" si="0"/>
        <v>25</v>
      </c>
      <c r="J24" s="100">
        <f t="shared" si="0"/>
        <v>50</v>
      </c>
      <c r="K24" s="100">
        <f t="shared" si="0"/>
        <v>39</v>
      </c>
      <c r="L24" s="100">
        <f t="shared" si="0"/>
        <v>50</v>
      </c>
      <c r="M24" s="100">
        <f t="shared" si="0"/>
        <v>34</v>
      </c>
      <c r="N24" s="100">
        <f t="shared" si="0"/>
        <v>49</v>
      </c>
      <c r="O24" s="100">
        <f t="shared" si="0"/>
        <v>48</v>
      </c>
      <c r="P24" s="100">
        <f t="shared" si="0"/>
        <v>50</v>
      </c>
      <c r="Q24" s="100">
        <f t="shared" si="0"/>
        <v>44</v>
      </c>
      <c r="R24" s="100">
        <f t="shared" si="0"/>
        <v>48</v>
      </c>
      <c r="S24" s="100">
        <f t="shared" si="0"/>
        <v>44</v>
      </c>
      <c r="T24" s="100">
        <f t="shared" si="0"/>
        <v>50</v>
      </c>
      <c r="U24" s="100">
        <f t="shared" si="0"/>
        <v>46</v>
      </c>
      <c r="V24" s="100">
        <f t="shared" si="0"/>
        <v>50</v>
      </c>
      <c r="W24" s="100">
        <f t="shared" si="0"/>
        <v>50</v>
      </c>
      <c r="X24" s="102">
        <f t="shared" si="0"/>
        <v>100</v>
      </c>
    </row>
    <row r="25" spans="1:24" ht="14.4" customHeight="1" x14ac:dyDescent="0.4">
      <c r="A25" s="148" t="s">
        <v>15</v>
      </c>
      <c r="B25" s="149"/>
      <c r="C25" s="150"/>
      <c r="D25" s="134">
        <f>MIN(D35:D233)</f>
        <v>43.333333333333336</v>
      </c>
      <c r="E25" s="134"/>
      <c r="F25" s="134"/>
      <c r="G25" s="8"/>
      <c r="H25" s="100">
        <f t="shared" ref="H25:X25" si="1">MIN(H35:H233)</f>
        <v>22</v>
      </c>
      <c r="I25" s="100">
        <f t="shared" si="1"/>
        <v>1</v>
      </c>
      <c r="J25" s="100">
        <f t="shared" si="1"/>
        <v>22</v>
      </c>
      <c r="K25" s="100">
        <f t="shared" si="1"/>
        <v>5</v>
      </c>
      <c r="L25" s="100">
        <f t="shared" si="1"/>
        <v>22</v>
      </c>
      <c r="M25" s="100">
        <f t="shared" si="1"/>
        <v>1</v>
      </c>
      <c r="N25" s="100">
        <f t="shared" si="1"/>
        <v>25</v>
      </c>
      <c r="O25" s="100">
        <f t="shared" si="1"/>
        <v>25</v>
      </c>
      <c r="P25" s="100">
        <f t="shared" si="1"/>
        <v>25</v>
      </c>
      <c r="Q25" s="100">
        <f t="shared" si="1"/>
        <v>6</v>
      </c>
      <c r="R25" s="100">
        <f t="shared" si="1"/>
        <v>35</v>
      </c>
      <c r="S25" s="100">
        <f t="shared" si="1"/>
        <v>18</v>
      </c>
      <c r="T25" s="100">
        <f t="shared" si="1"/>
        <v>22</v>
      </c>
      <c r="U25" s="100">
        <f t="shared" si="1"/>
        <v>9</v>
      </c>
      <c r="V25" s="100">
        <f t="shared" si="1"/>
        <v>22</v>
      </c>
      <c r="W25" s="100">
        <f t="shared" si="1"/>
        <v>20</v>
      </c>
      <c r="X25" s="102">
        <f t="shared" si="1"/>
        <v>100</v>
      </c>
    </row>
    <row r="26" spans="1:24" ht="14.4" customHeight="1" x14ac:dyDescent="0.4">
      <c r="A26" s="148" t="s">
        <v>16</v>
      </c>
      <c r="B26" s="149"/>
      <c r="C26" s="150"/>
      <c r="D26" s="134">
        <f>MEDIAN(D35:D233)</f>
        <v>75.333333333333329</v>
      </c>
      <c r="E26" s="134"/>
      <c r="F26" s="134"/>
      <c r="G26" s="8"/>
      <c r="H26" s="100">
        <f t="shared" ref="H26:U26" si="2">IFERROR(MEDIAN(H35:H233),"")</f>
        <v>41</v>
      </c>
      <c r="I26" s="100">
        <f t="shared" si="2"/>
        <v>12</v>
      </c>
      <c r="J26" s="100">
        <f t="shared" si="2"/>
        <v>41</v>
      </c>
      <c r="K26" s="100">
        <f t="shared" si="2"/>
        <v>24</v>
      </c>
      <c r="L26" s="100">
        <f t="shared" si="2"/>
        <v>39</v>
      </c>
      <c r="M26" s="100">
        <f t="shared" si="2"/>
        <v>20</v>
      </c>
      <c r="N26" s="100">
        <f t="shared" si="2"/>
        <v>45</v>
      </c>
      <c r="O26" s="100">
        <f t="shared" si="2"/>
        <v>40</v>
      </c>
      <c r="P26" s="100">
        <f t="shared" si="2"/>
        <v>41</v>
      </c>
      <c r="Q26" s="100">
        <f t="shared" si="2"/>
        <v>29</v>
      </c>
      <c r="R26" s="100">
        <f t="shared" si="2"/>
        <v>44</v>
      </c>
      <c r="S26" s="100">
        <f t="shared" si="2"/>
        <v>29</v>
      </c>
      <c r="T26" s="100">
        <f t="shared" si="2"/>
        <v>42</v>
      </c>
      <c r="U26" s="100">
        <f t="shared" si="2"/>
        <v>30</v>
      </c>
      <c r="V26" s="100">
        <f>IFERROR(MEDIAN(V35:V233), "")</f>
        <v>47</v>
      </c>
      <c r="W26" s="100">
        <f>IFERROR(MEDIAN(W35:W233),"")</f>
        <v>47</v>
      </c>
      <c r="X26" s="102">
        <f>IFERROR(MEDIAN(X35:X233), "")</f>
        <v>100</v>
      </c>
    </row>
    <row r="27" spans="1:24" ht="14.4" customHeight="1" x14ac:dyDescent="0.4">
      <c r="A27" s="148" t="s">
        <v>17</v>
      </c>
      <c r="B27" s="149"/>
      <c r="C27" s="150"/>
      <c r="D27" s="134">
        <f>AVERAGE(D35:D233)</f>
        <v>72.486772486772495</v>
      </c>
      <c r="E27" s="134"/>
      <c r="F27" s="134"/>
      <c r="G27" s="8"/>
      <c r="H27" s="100">
        <f t="shared" ref="H27:X27" si="3">IFERROR(AVERAGE(H35:H233),"")</f>
        <v>40.253968253968253</v>
      </c>
      <c r="I27" s="100">
        <f t="shared" si="3"/>
        <v>13.222222222222221</v>
      </c>
      <c r="J27" s="100">
        <f t="shared" si="3"/>
        <v>39.571428571428569</v>
      </c>
      <c r="K27" s="100">
        <f t="shared" si="3"/>
        <v>22.317460317460316</v>
      </c>
      <c r="L27" s="100">
        <f t="shared" si="3"/>
        <v>38.285714285714285</v>
      </c>
      <c r="M27" s="100">
        <f t="shared" si="3"/>
        <v>20.253968253968253</v>
      </c>
      <c r="N27" s="100">
        <f t="shared" si="3"/>
        <v>42.904761904761905</v>
      </c>
      <c r="O27" s="100">
        <f t="shared" si="3"/>
        <v>38.396825396825399</v>
      </c>
      <c r="P27" s="100">
        <f t="shared" si="3"/>
        <v>39.746031746031747</v>
      </c>
      <c r="Q27" s="100">
        <f t="shared" si="3"/>
        <v>27.984126984126984</v>
      </c>
      <c r="R27" s="100">
        <f t="shared" si="3"/>
        <v>43.634920634920633</v>
      </c>
      <c r="S27" s="100">
        <f t="shared" si="3"/>
        <v>29.19047619047619</v>
      </c>
      <c r="T27" s="100">
        <f t="shared" si="3"/>
        <v>39.730158730158728</v>
      </c>
      <c r="U27" s="100">
        <f t="shared" si="3"/>
        <v>29.777777777777779</v>
      </c>
      <c r="V27" s="100">
        <f t="shared" si="3"/>
        <v>46.968253968253968</v>
      </c>
      <c r="W27" s="100">
        <f t="shared" si="3"/>
        <v>41.730158730158728</v>
      </c>
      <c r="X27" s="108">
        <f t="shared" si="3"/>
        <v>100</v>
      </c>
    </row>
    <row r="28" spans="1:24" ht="14.4" customHeight="1" x14ac:dyDescent="0.4">
      <c r="A28" s="148" t="s">
        <v>18</v>
      </c>
      <c r="B28" s="149"/>
      <c r="C28" s="150"/>
      <c r="D28" s="136">
        <v>85</v>
      </c>
      <c r="E28" s="136"/>
      <c r="F28" s="136"/>
      <c r="G28" s="8"/>
      <c r="H28" s="131">
        <v>85</v>
      </c>
      <c r="I28" s="131"/>
      <c r="J28" s="131">
        <v>85</v>
      </c>
      <c r="K28" s="131"/>
      <c r="L28" s="131">
        <v>85</v>
      </c>
      <c r="M28" s="131"/>
      <c r="N28" s="131">
        <v>85</v>
      </c>
      <c r="O28" s="131"/>
      <c r="P28" s="131">
        <v>100</v>
      </c>
      <c r="Q28" s="131"/>
      <c r="R28" s="131">
        <v>85</v>
      </c>
      <c r="S28" s="131"/>
      <c r="T28" s="131">
        <v>85</v>
      </c>
      <c r="U28" s="131"/>
      <c r="V28" s="131">
        <v>100</v>
      </c>
      <c r="W28" s="169"/>
      <c r="X28" s="106">
        <v>100</v>
      </c>
    </row>
    <row r="29" spans="1:24" ht="15.45" customHeight="1" x14ac:dyDescent="0.4">
      <c r="A29" s="148" t="s">
        <v>19</v>
      </c>
      <c r="B29" s="149"/>
      <c r="C29" s="150"/>
      <c r="D29" s="132" t="str">
        <f>IF(D17&gt;=D28, "YES","NO")</f>
        <v>NO</v>
      </c>
      <c r="E29" s="132"/>
      <c r="F29" s="132"/>
      <c r="G29" s="27"/>
      <c r="H29" s="132" t="str">
        <f>IF(H17&gt;=H28,"YES","NO")</f>
        <v>NO</v>
      </c>
      <c r="I29" s="132"/>
      <c r="J29" s="132" t="str">
        <f>IF(J17&gt;=J28,"YES","NO")</f>
        <v>NO</v>
      </c>
      <c r="K29" s="132"/>
      <c r="L29" s="132" t="str">
        <f t="shared" ref="L29" si="4">IF(L17&gt;=L28,"YES","NO")</f>
        <v>NO</v>
      </c>
      <c r="M29" s="132"/>
      <c r="N29" s="132" t="str">
        <f t="shared" ref="N29" si="5">IF(N17&gt;=N28,"YES","NO")</f>
        <v>YES</v>
      </c>
      <c r="O29" s="132"/>
      <c r="P29" s="132" t="str">
        <f t="shared" ref="P29" si="6">IF(P17&gt;=P28,"YES","NO")</f>
        <v>NO</v>
      </c>
      <c r="Q29" s="132"/>
      <c r="R29" s="132" t="str">
        <f t="shared" ref="R29" si="7">IF(R17&gt;=R28,"YES","NO")</f>
        <v>YES</v>
      </c>
      <c r="S29" s="132"/>
      <c r="T29" s="132" t="str">
        <f>IF(T17="","",IF(T17&gt;=T28,"YES","NO"))</f>
        <v>YES</v>
      </c>
      <c r="U29" s="132"/>
      <c r="V29" s="132" t="str">
        <f>IF(V17="","",IF(V17&gt;=V28,"YES","NO"))</f>
        <v>YES</v>
      </c>
      <c r="W29" s="170"/>
      <c r="X29" s="105" t="str">
        <f>IF(X17="","",IF(X17&gt;=X28,"YES","NO"))</f>
        <v>YES</v>
      </c>
    </row>
    <row r="30" spans="1:24" ht="14.4" customHeight="1" x14ac:dyDescent="0.4">
      <c r="A30" s="148" t="s">
        <v>26</v>
      </c>
      <c r="B30" s="149"/>
      <c r="C30" s="150"/>
      <c r="D30" s="119">
        <v>18</v>
      </c>
      <c r="E30" s="120"/>
      <c r="F30" s="121"/>
      <c r="G30" s="7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spans="1:24" ht="14.6" customHeight="1" x14ac:dyDescent="0.4">
      <c r="A31" s="171" t="s">
        <v>27</v>
      </c>
      <c r="B31" s="172"/>
      <c r="C31" s="150"/>
      <c r="D31" s="119">
        <v>900</v>
      </c>
      <c r="E31" s="120"/>
      <c r="F31" s="121"/>
      <c r="G31" s="7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28" t="s">
        <v>20</v>
      </c>
    </row>
    <row r="32" spans="1:24" ht="19.3" customHeight="1" x14ac:dyDescent="0.4">
      <c r="A32" s="7"/>
      <c r="B32" s="7"/>
      <c r="C32" s="7"/>
      <c r="D32" s="7"/>
      <c r="E32" s="7"/>
      <c r="F32" s="7"/>
      <c r="G32" s="7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5"/>
      <c r="V32" s="18"/>
      <c r="W32" s="18"/>
      <c r="X32" s="18"/>
    </row>
    <row r="33" spans="1:25" x14ac:dyDescent="0.4">
      <c r="A33" s="164" t="s">
        <v>1</v>
      </c>
      <c r="B33" s="165" t="s">
        <v>22</v>
      </c>
      <c r="C33" s="123" t="s">
        <v>23</v>
      </c>
      <c r="D33" s="166" t="s">
        <v>24</v>
      </c>
      <c r="E33" s="168" t="s">
        <v>21</v>
      </c>
      <c r="F33" s="168" t="s">
        <v>25</v>
      </c>
      <c r="G33" s="93"/>
      <c r="H33" s="175" t="str">
        <f>IF(B6=0,"",B6)</f>
        <v>BEC401</v>
      </c>
      <c r="I33" s="175"/>
      <c r="J33" s="175" t="str">
        <f>IF(B7=0,"",B7)</f>
        <v>BEC402</v>
      </c>
      <c r="K33" s="175"/>
      <c r="L33" s="175" t="str">
        <f>IF(B8=0,"",B8)</f>
        <v>BEC403</v>
      </c>
      <c r="M33" s="175"/>
      <c r="N33" s="175" t="str">
        <f>IF(B9=0,"",B9)</f>
        <v>BECL404</v>
      </c>
      <c r="O33" s="175"/>
      <c r="P33" s="175" t="str">
        <f>IF(B10=0,"",B10)</f>
        <v>BBOK407</v>
      </c>
      <c r="Q33" s="175"/>
      <c r="R33" s="175" t="str">
        <f>IF(B11=0,"",B11)</f>
        <v>BUHK408</v>
      </c>
      <c r="S33" s="175"/>
      <c r="T33" s="175" t="str">
        <f>IF(B12=0,"",B12)</f>
        <v>BNSK405C</v>
      </c>
      <c r="U33" s="175"/>
      <c r="V33" s="173" t="str">
        <f>B13</f>
        <v>BECL456A</v>
      </c>
      <c r="W33" s="177"/>
      <c r="X33" s="114" t="str">
        <f>B14</f>
        <v>BNSK459</v>
      </c>
      <c r="Y33" s="112"/>
    </row>
    <row r="34" spans="1:25" x14ac:dyDescent="0.4">
      <c r="A34" s="164"/>
      <c r="B34" s="165"/>
      <c r="C34" s="124"/>
      <c r="D34" s="167"/>
      <c r="E34" s="168"/>
      <c r="F34" s="168"/>
      <c r="G34" s="93"/>
      <c r="H34" s="31" t="str">
        <f>IF(B6=0,"","CIE")</f>
        <v>CIE</v>
      </c>
      <c r="I34" s="31" t="str">
        <f>IF(B6=0,"","SEE")</f>
        <v>SEE</v>
      </c>
      <c r="J34" s="31" t="str">
        <f>IF(B7=0,"","CIE")</f>
        <v>CIE</v>
      </c>
      <c r="K34" s="31" t="str">
        <f>IF(B7=0,"","SEE")</f>
        <v>SEE</v>
      </c>
      <c r="L34" s="31" t="str">
        <f>IF(B8=0,"","CIE")</f>
        <v>CIE</v>
      </c>
      <c r="M34" s="31" t="str">
        <f>IF(B8=0,"","SEE")</f>
        <v>SEE</v>
      </c>
      <c r="N34" s="31" t="str">
        <f>IF(B9=0,"","CIE")</f>
        <v>CIE</v>
      </c>
      <c r="O34" s="31" t="str">
        <f>IF(B9=0,"","SEE")</f>
        <v>SEE</v>
      </c>
      <c r="P34" s="31" t="str">
        <f>IF(B10=0,"","CIE")</f>
        <v>CIE</v>
      </c>
      <c r="Q34" s="31" t="str">
        <f>IF(B10=0,"","SEE")</f>
        <v>SEE</v>
      </c>
      <c r="R34" s="31" t="str">
        <f>IF(B11=0,"","CIE")</f>
        <v>CIE</v>
      </c>
      <c r="S34" s="31" t="str">
        <f>IF(B11=0,"","SEE")</f>
        <v>SEE</v>
      </c>
      <c r="T34" s="31" t="s">
        <v>203</v>
      </c>
      <c r="U34" s="31" t="s">
        <v>201</v>
      </c>
      <c r="V34" s="31" t="str">
        <f>IF(B14=0,"","CIE")</f>
        <v>CIE</v>
      </c>
      <c r="W34" s="31" t="s">
        <v>203</v>
      </c>
      <c r="X34" s="113" t="s">
        <v>201</v>
      </c>
    </row>
    <row r="35" spans="1:25" x14ac:dyDescent="0.4">
      <c r="A35" s="65">
        <f>IF(B35&lt;&gt;"",COUNTA($B35:B$35),"")</f>
        <v>1</v>
      </c>
      <c r="B35" s="96" t="s">
        <v>46</v>
      </c>
      <c r="C35" s="13" t="s">
        <v>47</v>
      </c>
      <c r="D35" s="33">
        <f t="shared" ref="D35:D66" si="8">IF(C35="","",(SUM(H35:X35)/D$31)*100)</f>
        <v>61.777777777777779</v>
      </c>
      <c r="E35" s="115" t="str">
        <f t="shared" ref="E35:E41" si="9">IF(ISBLANK(B35),"",IF(OR(I35&lt;18,K35&lt;18,M35&lt;18,O35&lt;18,Q35&lt;18,S35&lt;18,U35&lt;18,W35&lt;18),"FAIL","PASS"))</f>
        <v>FAIL</v>
      </c>
      <c r="F35" s="103" t="str">
        <f>IF(E35="Pass",G35, IF(E35="FAIL","FAIL",""))</f>
        <v>FAIL</v>
      </c>
      <c r="G35" s="34" t="str">
        <f t="shared" ref="G35:G97" si="10">IF(D35 = "", "", IF(D35 &gt;= 70, "FCD", IF(D35 &gt;= 60, "FC", IF(D35 &gt;= 35, "SC", ""))))</f>
        <v>FC</v>
      </c>
      <c r="H35" s="31">
        <v>33</v>
      </c>
      <c r="I35" s="31">
        <v>11</v>
      </c>
      <c r="J35" s="31">
        <v>35</v>
      </c>
      <c r="K35" s="31">
        <v>18</v>
      </c>
      <c r="L35" s="31">
        <v>32</v>
      </c>
      <c r="M35" s="31">
        <v>20</v>
      </c>
      <c r="N35" s="31">
        <v>31</v>
      </c>
      <c r="O35" s="31">
        <v>34</v>
      </c>
      <c r="P35" s="31">
        <v>30</v>
      </c>
      <c r="Q35" s="31">
        <v>21</v>
      </c>
      <c r="R35" s="31">
        <v>41</v>
      </c>
      <c r="S35" s="31">
        <v>35</v>
      </c>
      <c r="T35" s="31">
        <v>23</v>
      </c>
      <c r="U35" s="31">
        <v>22</v>
      </c>
      <c r="V35" s="31">
        <v>47</v>
      </c>
      <c r="W35" s="31">
        <v>23</v>
      </c>
      <c r="X35" s="109">
        <v>100</v>
      </c>
    </row>
    <row r="36" spans="1:25" x14ac:dyDescent="0.4">
      <c r="A36" s="103">
        <f>IF(B36&lt;&gt;"",COUNTA($B$35:B36),"")</f>
        <v>2</v>
      </c>
      <c r="B36" s="13" t="s">
        <v>48</v>
      </c>
      <c r="C36" s="13" t="s">
        <v>49</v>
      </c>
      <c r="D36" s="33">
        <f t="shared" si="8"/>
        <v>43.333333333333336</v>
      </c>
      <c r="E36" s="115" t="str">
        <f t="shared" si="9"/>
        <v>FAIL</v>
      </c>
      <c r="F36" s="103" t="str">
        <f>IF(E36="Pass",G36, IF(E36="FAIL","FAIL",""))</f>
        <v>FAIL</v>
      </c>
      <c r="G36" s="34" t="str">
        <f t="shared" si="10"/>
        <v>SC</v>
      </c>
      <c r="H36" s="31">
        <v>22</v>
      </c>
      <c r="I36" s="31">
        <v>1</v>
      </c>
      <c r="J36" s="31">
        <v>22</v>
      </c>
      <c r="K36" s="31">
        <v>5</v>
      </c>
      <c r="L36" s="31">
        <v>22</v>
      </c>
      <c r="M36" s="31">
        <v>1</v>
      </c>
      <c r="N36" s="31">
        <v>30</v>
      </c>
      <c r="O36" s="31">
        <v>25</v>
      </c>
      <c r="P36" s="31">
        <v>25</v>
      </c>
      <c r="Q36" s="31">
        <v>6</v>
      </c>
      <c r="R36" s="31">
        <v>36</v>
      </c>
      <c r="S36" s="31">
        <v>22</v>
      </c>
      <c r="T36" s="31">
        <v>22</v>
      </c>
      <c r="U36" s="31">
        <v>9</v>
      </c>
      <c r="V36" s="31">
        <v>22</v>
      </c>
      <c r="W36" s="31">
        <v>20</v>
      </c>
      <c r="X36" s="109">
        <v>100</v>
      </c>
    </row>
    <row r="37" spans="1:25" x14ac:dyDescent="0.4">
      <c r="A37" s="103">
        <f>IF(B37&lt;&gt;"",COUNTA($B$35:B37),"")</f>
        <v>3</v>
      </c>
      <c r="B37" s="13" t="s">
        <v>50</v>
      </c>
      <c r="C37" s="13" t="s">
        <v>51</v>
      </c>
      <c r="D37" s="33">
        <f t="shared" si="8"/>
        <v>60.777777777777771</v>
      </c>
      <c r="E37" s="115" t="str">
        <f t="shared" si="9"/>
        <v>FAIL</v>
      </c>
      <c r="F37" s="103" t="str">
        <f t="shared" ref="F37:F99" si="11">IF(E37="Pass",G37, IF(E37="FAIL","FAIL",""))</f>
        <v>FAIL</v>
      </c>
      <c r="G37" s="34" t="str">
        <f t="shared" si="10"/>
        <v>FC</v>
      </c>
      <c r="H37" s="31">
        <v>39</v>
      </c>
      <c r="I37" s="31">
        <v>5</v>
      </c>
      <c r="J37" s="31">
        <v>31</v>
      </c>
      <c r="K37" s="31">
        <v>5</v>
      </c>
      <c r="L37" s="31">
        <v>25</v>
      </c>
      <c r="M37" s="31">
        <v>13</v>
      </c>
      <c r="N37" s="31">
        <v>34</v>
      </c>
      <c r="O37" s="31">
        <v>29</v>
      </c>
      <c r="P37" s="31">
        <v>37</v>
      </c>
      <c r="Q37" s="31">
        <v>31</v>
      </c>
      <c r="R37" s="31">
        <v>41</v>
      </c>
      <c r="S37" s="31">
        <v>33</v>
      </c>
      <c r="T37" s="31">
        <v>33</v>
      </c>
      <c r="U37" s="31">
        <v>25</v>
      </c>
      <c r="V37" s="31">
        <v>46</v>
      </c>
      <c r="W37" s="31">
        <v>20</v>
      </c>
      <c r="X37" s="109">
        <v>100</v>
      </c>
    </row>
    <row r="38" spans="1:25" x14ac:dyDescent="0.4">
      <c r="A38" s="103">
        <f>IF(B38&lt;&gt;"",COUNTA($B$35:B38),"")</f>
        <v>4</v>
      </c>
      <c r="B38" s="13" t="s">
        <v>52</v>
      </c>
      <c r="C38" s="13" t="s">
        <v>53</v>
      </c>
      <c r="D38" s="33">
        <f t="shared" si="8"/>
        <v>78.444444444444457</v>
      </c>
      <c r="E38" s="115" t="str">
        <f t="shared" si="9"/>
        <v>PASS</v>
      </c>
      <c r="F38" s="103" t="str">
        <f t="shared" si="11"/>
        <v>FCD</v>
      </c>
      <c r="G38" s="34" t="str">
        <f t="shared" si="10"/>
        <v>FCD</v>
      </c>
      <c r="H38" s="31">
        <v>42</v>
      </c>
      <c r="I38" s="31">
        <v>18</v>
      </c>
      <c r="J38" s="31">
        <v>42</v>
      </c>
      <c r="K38" s="31">
        <v>32</v>
      </c>
      <c r="L38" s="31">
        <v>39</v>
      </c>
      <c r="M38" s="31">
        <v>29</v>
      </c>
      <c r="N38" s="31">
        <v>45</v>
      </c>
      <c r="O38" s="31">
        <v>44</v>
      </c>
      <c r="P38" s="31">
        <v>45</v>
      </c>
      <c r="Q38" s="31">
        <v>39</v>
      </c>
      <c r="R38" s="31">
        <v>45</v>
      </c>
      <c r="S38" s="31">
        <v>28</v>
      </c>
      <c r="T38" s="31">
        <v>49</v>
      </c>
      <c r="U38" s="31">
        <v>25</v>
      </c>
      <c r="V38" s="31">
        <v>49</v>
      </c>
      <c r="W38" s="31">
        <v>35</v>
      </c>
      <c r="X38" s="109">
        <v>100</v>
      </c>
    </row>
    <row r="39" spans="1:25" x14ac:dyDescent="0.4">
      <c r="A39" s="103">
        <f>IF(B39&lt;&gt;"",COUNTA($B$35:B39),"")</f>
        <v>5</v>
      </c>
      <c r="B39" s="13" t="s">
        <v>54</v>
      </c>
      <c r="C39" s="13" t="s">
        <v>55</v>
      </c>
      <c r="D39" s="33">
        <f t="shared" si="8"/>
        <v>67.222222222222229</v>
      </c>
      <c r="E39" s="115" t="str">
        <f t="shared" si="9"/>
        <v>FAIL</v>
      </c>
      <c r="F39" s="103" t="str">
        <f t="shared" si="11"/>
        <v>FAIL</v>
      </c>
      <c r="G39" s="34" t="str">
        <f t="shared" si="10"/>
        <v>FC</v>
      </c>
      <c r="H39" s="31">
        <v>31</v>
      </c>
      <c r="I39" s="31">
        <v>10</v>
      </c>
      <c r="J39" s="31">
        <v>25</v>
      </c>
      <c r="K39" s="31">
        <v>18</v>
      </c>
      <c r="L39" s="31">
        <v>35</v>
      </c>
      <c r="M39" s="31">
        <v>14</v>
      </c>
      <c r="N39" s="31">
        <v>36</v>
      </c>
      <c r="O39" s="31">
        <v>44</v>
      </c>
      <c r="P39" s="31">
        <v>37</v>
      </c>
      <c r="Q39" s="31">
        <v>29</v>
      </c>
      <c r="R39" s="31">
        <v>45</v>
      </c>
      <c r="S39" s="31">
        <v>27</v>
      </c>
      <c r="T39" s="31">
        <v>39</v>
      </c>
      <c r="U39" s="31">
        <v>24</v>
      </c>
      <c r="V39" s="31">
        <v>48</v>
      </c>
      <c r="W39" s="31">
        <v>43</v>
      </c>
      <c r="X39" s="109">
        <v>100</v>
      </c>
    </row>
    <row r="40" spans="1:25" x14ac:dyDescent="0.4">
      <c r="A40" s="103">
        <f>IF(B40&lt;&gt;"",COUNTA($B$35:B40),"")</f>
        <v>6</v>
      </c>
      <c r="B40" s="13" t="s">
        <v>56</v>
      </c>
      <c r="C40" s="13" t="s">
        <v>57</v>
      </c>
      <c r="D40" s="33">
        <f t="shared" si="8"/>
        <v>75.777777777777771</v>
      </c>
      <c r="E40" s="115" t="str">
        <f t="shared" si="9"/>
        <v>PASS</v>
      </c>
      <c r="F40" s="103" t="str">
        <f t="shared" si="11"/>
        <v>FCD</v>
      </c>
      <c r="G40" s="34" t="str">
        <f t="shared" si="10"/>
        <v>FCD</v>
      </c>
      <c r="H40" s="31">
        <v>39</v>
      </c>
      <c r="I40" s="31">
        <v>18</v>
      </c>
      <c r="J40" s="31">
        <v>41</v>
      </c>
      <c r="K40" s="31">
        <v>18</v>
      </c>
      <c r="L40" s="31">
        <v>41</v>
      </c>
      <c r="M40" s="31">
        <v>18</v>
      </c>
      <c r="N40" s="31">
        <v>46</v>
      </c>
      <c r="O40" s="31">
        <v>40</v>
      </c>
      <c r="P40" s="31">
        <v>41</v>
      </c>
      <c r="Q40" s="31">
        <v>38</v>
      </c>
      <c r="R40" s="31">
        <v>43</v>
      </c>
      <c r="S40" s="31">
        <v>21</v>
      </c>
      <c r="T40" s="31">
        <v>45</v>
      </c>
      <c r="U40" s="31">
        <v>35</v>
      </c>
      <c r="V40" s="31">
        <v>50</v>
      </c>
      <c r="W40" s="31">
        <v>48</v>
      </c>
      <c r="X40" s="109">
        <v>100</v>
      </c>
    </row>
    <row r="41" spans="1:25" x14ac:dyDescent="0.4">
      <c r="A41" s="103">
        <f>IF(B41&lt;&gt;"",COUNTA($B$35:B41),"")</f>
        <v>7</v>
      </c>
      <c r="B41" s="13" t="s">
        <v>58</v>
      </c>
      <c r="C41" s="13" t="s">
        <v>59</v>
      </c>
      <c r="D41" s="33">
        <f t="shared" si="8"/>
        <v>77.333333333333329</v>
      </c>
      <c r="E41" s="115" t="str">
        <f t="shared" si="9"/>
        <v>PASS</v>
      </c>
      <c r="F41" s="103" t="str">
        <f t="shared" si="11"/>
        <v>FCD</v>
      </c>
      <c r="G41" s="34" t="str">
        <f t="shared" si="10"/>
        <v>FCD</v>
      </c>
      <c r="H41" s="31">
        <v>44</v>
      </c>
      <c r="I41" s="31">
        <v>18</v>
      </c>
      <c r="J41" s="31">
        <v>40</v>
      </c>
      <c r="K41" s="31">
        <v>26</v>
      </c>
      <c r="L41" s="31">
        <v>46</v>
      </c>
      <c r="M41" s="31">
        <v>18</v>
      </c>
      <c r="N41" s="31">
        <v>45</v>
      </c>
      <c r="O41" s="31">
        <v>39</v>
      </c>
      <c r="P41" s="31">
        <v>43</v>
      </c>
      <c r="Q41" s="31">
        <v>23</v>
      </c>
      <c r="R41" s="31">
        <v>43</v>
      </c>
      <c r="S41" s="31">
        <v>36</v>
      </c>
      <c r="T41" s="31">
        <v>46</v>
      </c>
      <c r="U41" s="31">
        <v>33</v>
      </c>
      <c r="V41" s="31">
        <v>48</v>
      </c>
      <c r="W41" s="31">
        <v>48</v>
      </c>
      <c r="X41" s="109">
        <v>100</v>
      </c>
    </row>
    <row r="42" spans="1:25" x14ac:dyDescent="0.4">
      <c r="A42" s="103">
        <f>IF(B42&lt;&gt;"",COUNTA($B$35:B42),"")</f>
        <v>8</v>
      </c>
      <c r="B42" s="13" t="s">
        <v>60</v>
      </c>
      <c r="C42" s="13" t="s">
        <v>61</v>
      </c>
      <c r="D42" s="33">
        <f t="shared" si="8"/>
        <v>65.333333333333329</v>
      </c>
      <c r="E42" s="103" t="str">
        <f t="shared" ref="E41:E103" si="12">IF(ISBLANK(B42),"",IF(OR(I42&lt;18,K42&lt;18,M42&lt;18,O42&lt;18,Q42&lt;18,S42&lt;18,U42&lt;18,W42&lt;18),"FAIL","PASS"))</f>
        <v>FAIL</v>
      </c>
      <c r="F42" s="103" t="str">
        <f t="shared" si="11"/>
        <v>FAIL</v>
      </c>
      <c r="G42" s="34" t="str">
        <f t="shared" si="10"/>
        <v>FC</v>
      </c>
      <c r="H42" s="31">
        <v>36</v>
      </c>
      <c r="I42" s="31">
        <v>6</v>
      </c>
      <c r="J42" s="31">
        <v>33</v>
      </c>
      <c r="K42" s="31">
        <v>18</v>
      </c>
      <c r="L42" s="31">
        <v>34</v>
      </c>
      <c r="M42" s="31">
        <v>14</v>
      </c>
      <c r="N42" s="31">
        <v>39</v>
      </c>
      <c r="O42" s="31">
        <v>28</v>
      </c>
      <c r="P42" s="31">
        <v>35</v>
      </c>
      <c r="Q42" s="31">
        <v>21</v>
      </c>
      <c r="R42" s="31">
        <v>42</v>
      </c>
      <c r="S42" s="31">
        <v>29</v>
      </c>
      <c r="T42" s="31">
        <v>33</v>
      </c>
      <c r="U42" s="31">
        <v>30</v>
      </c>
      <c r="V42" s="31">
        <v>47</v>
      </c>
      <c r="W42" s="31">
        <v>43</v>
      </c>
      <c r="X42" s="109">
        <v>100</v>
      </c>
    </row>
    <row r="43" spans="1:25" x14ac:dyDescent="0.4">
      <c r="A43" s="103">
        <f>IF(B43&lt;&gt;"",COUNTA($B$35:B43),"")</f>
        <v>9</v>
      </c>
      <c r="B43" s="13" t="s">
        <v>62</v>
      </c>
      <c r="C43" s="13" t="s">
        <v>63</v>
      </c>
      <c r="D43" s="33">
        <f t="shared" si="8"/>
        <v>76.666666666666671</v>
      </c>
      <c r="E43" s="103" t="str">
        <f t="shared" si="12"/>
        <v>PASS</v>
      </c>
      <c r="F43" s="103" t="str">
        <f t="shared" si="11"/>
        <v>FCD</v>
      </c>
      <c r="G43" s="34" t="str">
        <f t="shared" si="10"/>
        <v>FCD</v>
      </c>
      <c r="H43" s="31">
        <v>44</v>
      </c>
      <c r="I43" s="31">
        <v>18</v>
      </c>
      <c r="J43" s="31">
        <v>44</v>
      </c>
      <c r="K43" s="31">
        <v>18</v>
      </c>
      <c r="L43" s="31">
        <v>46</v>
      </c>
      <c r="M43" s="31">
        <v>24</v>
      </c>
      <c r="N43" s="31">
        <v>48</v>
      </c>
      <c r="O43" s="31">
        <v>46</v>
      </c>
      <c r="P43" s="31">
        <v>44</v>
      </c>
      <c r="Q43" s="31">
        <v>24</v>
      </c>
      <c r="R43" s="31">
        <v>42</v>
      </c>
      <c r="S43" s="31">
        <v>28</v>
      </c>
      <c r="T43" s="31">
        <v>43</v>
      </c>
      <c r="U43" s="31">
        <v>22</v>
      </c>
      <c r="V43" s="31">
        <v>50</v>
      </c>
      <c r="W43" s="31">
        <v>49</v>
      </c>
      <c r="X43" s="109">
        <v>100</v>
      </c>
    </row>
    <row r="44" spans="1:25" x14ac:dyDescent="0.4">
      <c r="A44" s="103">
        <f>IF(B44&lt;&gt;"",COUNTA($B$35:B44),"")</f>
        <v>10</v>
      </c>
      <c r="B44" s="13" t="s">
        <v>64</v>
      </c>
      <c r="C44" s="13" t="s">
        <v>65</v>
      </c>
      <c r="D44" s="33">
        <f t="shared" si="8"/>
        <v>67.333333333333329</v>
      </c>
      <c r="E44" s="103" t="str">
        <f t="shared" si="12"/>
        <v>PASS</v>
      </c>
      <c r="F44" s="103" t="str">
        <f t="shared" si="11"/>
        <v>FC</v>
      </c>
      <c r="G44" s="34" t="str">
        <f t="shared" si="10"/>
        <v>FC</v>
      </c>
      <c r="H44" s="31">
        <v>34</v>
      </c>
      <c r="I44" s="31">
        <v>18</v>
      </c>
      <c r="J44" s="31">
        <v>35</v>
      </c>
      <c r="K44" s="31">
        <v>19</v>
      </c>
      <c r="L44" s="31">
        <v>37</v>
      </c>
      <c r="M44" s="31">
        <v>21</v>
      </c>
      <c r="N44" s="31">
        <v>38</v>
      </c>
      <c r="O44" s="31">
        <v>30</v>
      </c>
      <c r="P44" s="31">
        <v>37</v>
      </c>
      <c r="Q44" s="31">
        <v>26</v>
      </c>
      <c r="R44" s="31">
        <v>44</v>
      </c>
      <c r="S44" s="31">
        <v>38</v>
      </c>
      <c r="T44" s="31">
        <v>33</v>
      </c>
      <c r="U44" s="31">
        <v>25</v>
      </c>
      <c r="V44" s="31">
        <v>48</v>
      </c>
      <c r="W44" s="31">
        <v>23</v>
      </c>
      <c r="X44" s="109">
        <v>100</v>
      </c>
    </row>
    <row r="45" spans="1:25" x14ac:dyDescent="0.4">
      <c r="A45" s="103">
        <f>IF(B45&lt;&gt;"",COUNTA($B$35:B45),"")</f>
        <v>11</v>
      </c>
      <c r="B45" s="13" t="s">
        <v>66</v>
      </c>
      <c r="C45" s="13" t="s">
        <v>67</v>
      </c>
      <c r="D45" s="33">
        <f t="shared" si="8"/>
        <v>66.111111111111114</v>
      </c>
      <c r="E45" s="103" t="str">
        <f t="shared" si="12"/>
        <v>FAIL</v>
      </c>
      <c r="F45" s="103" t="str">
        <f t="shared" si="11"/>
        <v>FAIL</v>
      </c>
      <c r="G45" s="34" t="str">
        <f t="shared" si="10"/>
        <v>FC</v>
      </c>
      <c r="H45" s="31">
        <v>38</v>
      </c>
      <c r="I45" s="31">
        <v>13</v>
      </c>
      <c r="J45" s="31">
        <v>36</v>
      </c>
      <c r="K45" s="31">
        <v>18</v>
      </c>
      <c r="L45" s="31">
        <v>37</v>
      </c>
      <c r="M45" s="31">
        <v>18</v>
      </c>
      <c r="N45" s="31">
        <v>30</v>
      </c>
      <c r="O45" s="31">
        <v>38</v>
      </c>
      <c r="P45" s="31">
        <v>34</v>
      </c>
      <c r="Q45" s="31">
        <v>27</v>
      </c>
      <c r="R45" s="31">
        <v>40</v>
      </c>
      <c r="S45" s="31">
        <v>29</v>
      </c>
      <c r="T45" s="31">
        <v>39</v>
      </c>
      <c r="U45" s="31">
        <v>15</v>
      </c>
      <c r="V45" s="31">
        <v>48</v>
      </c>
      <c r="W45" s="31">
        <v>35</v>
      </c>
      <c r="X45" s="109">
        <v>100</v>
      </c>
    </row>
    <row r="46" spans="1:25" x14ac:dyDescent="0.4">
      <c r="A46" s="103">
        <f>IF(B46&lt;&gt;"",COUNTA($B$35:B46),"")</f>
        <v>12</v>
      </c>
      <c r="B46" s="13" t="s">
        <v>68</v>
      </c>
      <c r="C46" s="13" t="s">
        <v>69</v>
      </c>
      <c r="D46" s="33">
        <f t="shared" si="8"/>
        <v>65.222222222222229</v>
      </c>
      <c r="E46" s="103" t="str">
        <f t="shared" si="12"/>
        <v>FAIL</v>
      </c>
      <c r="F46" s="103" t="str">
        <f t="shared" si="11"/>
        <v>FAIL</v>
      </c>
      <c r="G46" s="34" t="str">
        <f t="shared" si="10"/>
        <v>FC</v>
      </c>
      <c r="H46" s="31">
        <v>34</v>
      </c>
      <c r="I46" s="31">
        <v>4</v>
      </c>
      <c r="J46" s="31">
        <v>34</v>
      </c>
      <c r="K46" s="31">
        <v>25</v>
      </c>
      <c r="L46" s="31">
        <v>32</v>
      </c>
      <c r="M46" s="31">
        <v>9</v>
      </c>
      <c r="N46" s="31">
        <v>43</v>
      </c>
      <c r="O46" s="31">
        <v>26</v>
      </c>
      <c r="P46" s="31">
        <v>38</v>
      </c>
      <c r="Q46" s="31">
        <v>32</v>
      </c>
      <c r="R46" s="31">
        <v>43</v>
      </c>
      <c r="S46" s="31">
        <v>31</v>
      </c>
      <c r="T46" s="31">
        <v>40</v>
      </c>
      <c r="U46" s="31">
        <v>25</v>
      </c>
      <c r="V46" s="31">
        <v>46</v>
      </c>
      <c r="W46" s="31">
        <v>25</v>
      </c>
      <c r="X46" s="109">
        <v>100</v>
      </c>
    </row>
    <row r="47" spans="1:25" x14ac:dyDescent="0.4">
      <c r="A47" s="103">
        <f>IF(B47&lt;&gt;"",COUNTA($B$35:B47),"")</f>
        <v>13</v>
      </c>
      <c r="B47" s="13" t="s">
        <v>70</v>
      </c>
      <c r="C47" s="13" t="s">
        <v>71</v>
      </c>
      <c r="D47" s="33">
        <f t="shared" si="8"/>
        <v>69.333333333333343</v>
      </c>
      <c r="E47" s="103" t="str">
        <f t="shared" si="12"/>
        <v>PASS</v>
      </c>
      <c r="F47" s="103" t="str">
        <f t="shared" si="11"/>
        <v>FC</v>
      </c>
      <c r="G47" s="34" t="str">
        <f t="shared" si="10"/>
        <v>FC</v>
      </c>
      <c r="H47" s="31">
        <v>36</v>
      </c>
      <c r="I47" s="31">
        <v>18</v>
      </c>
      <c r="J47" s="31">
        <v>37</v>
      </c>
      <c r="K47" s="31">
        <v>27</v>
      </c>
      <c r="L47" s="31">
        <v>34</v>
      </c>
      <c r="M47" s="31">
        <v>18</v>
      </c>
      <c r="N47" s="31">
        <v>37</v>
      </c>
      <c r="O47" s="31">
        <v>43</v>
      </c>
      <c r="P47" s="31">
        <v>37</v>
      </c>
      <c r="Q47" s="31">
        <v>25</v>
      </c>
      <c r="R47" s="31">
        <v>42</v>
      </c>
      <c r="S47" s="31">
        <v>29</v>
      </c>
      <c r="T47" s="31">
        <v>22</v>
      </c>
      <c r="U47" s="31">
        <v>31</v>
      </c>
      <c r="V47" s="31">
        <v>45</v>
      </c>
      <c r="W47" s="31">
        <v>43</v>
      </c>
      <c r="X47" s="109">
        <v>100</v>
      </c>
    </row>
    <row r="48" spans="1:25" x14ac:dyDescent="0.4">
      <c r="A48" s="103">
        <f>IF(B48&lt;&gt;"",COUNTA($B$35:B48),"")</f>
        <v>14</v>
      </c>
      <c r="B48" s="13" t="s">
        <v>72</v>
      </c>
      <c r="C48" s="13" t="s">
        <v>73</v>
      </c>
      <c r="D48" s="33">
        <f t="shared" si="8"/>
        <v>78.555555555555557</v>
      </c>
      <c r="E48" s="103" t="str">
        <f t="shared" si="12"/>
        <v>FAIL</v>
      </c>
      <c r="F48" s="103" t="str">
        <f t="shared" si="11"/>
        <v>FAIL</v>
      </c>
      <c r="G48" s="34" t="str">
        <f t="shared" si="10"/>
        <v>FCD</v>
      </c>
      <c r="H48" s="31">
        <v>44</v>
      </c>
      <c r="I48" s="31">
        <v>12</v>
      </c>
      <c r="J48" s="31">
        <v>42</v>
      </c>
      <c r="K48" s="31">
        <v>27</v>
      </c>
      <c r="L48" s="31">
        <v>46</v>
      </c>
      <c r="M48" s="31">
        <v>23</v>
      </c>
      <c r="N48" s="31">
        <v>43</v>
      </c>
      <c r="O48" s="31">
        <v>45</v>
      </c>
      <c r="P48" s="31">
        <v>42</v>
      </c>
      <c r="Q48" s="31">
        <v>32</v>
      </c>
      <c r="R48" s="31">
        <v>44</v>
      </c>
      <c r="S48" s="31">
        <v>35</v>
      </c>
      <c r="T48" s="31">
        <v>37</v>
      </c>
      <c r="U48" s="31">
        <v>38</v>
      </c>
      <c r="V48" s="31">
        <v>48</v>
      </c>
      <c r="W48" s="31">
        <v>49</v>
      </c>
      <c r="X48" s="109">
        <v>100</v>
      </c>
    </row>
    <row r="49" spans="1:24" x14ac:dyDescent="0.4">
      <c r="A49" s="103">
        <f>IF(B49&lt;&gt;"",COUNTA($B$35:B49),"")</f>
        <v>15</v>
      </c>
      <c r="B49" s="13" t="s">
        <v>74</v>
      </c>
      <c r="C49" s="13" t="s">
        <v>75</v>
      </c>
      <c r="D49" s="33">
        <f t="shared" si="8"/>
        <v>72.888888888888886</v>
      </c>
      <c r="E49" s="103" t="str">
        <f t="shared" si="12"/>
        <v>PASS</v>
      </c>
      <c r="F49" s="103" t="str">
        <f t="shared" si="11"/>
        <v>FCD</v>
      </c>
      <c r="G49" s="34" t="str">
        <f t="shared" si="10"/>
        <v>FCD</v>
      </c>
      <c r="H49" s="31">
        <v>38</v>
      </c>
      <c r="I49" s="31">
        <v>18</v>
      </c>
      <c r="J49" s="31">
        <v>38</v>
      </c>
      <c r="K49" s="31">
        <v>28</v>
      </c>
      <c r="L49" s="31">
        <v>37</v>
      </c>
      <c r="M49" s="31">
        <v>24</v>
      </c>
      <c r="N49" s="31">
        <v>41</v>
      </c>
      <c r="O49" s="31">
        <v>33</v>
      </c>
      <c r="P49" s="31">
        <v>40</v>
      </c>
      <c r="Q49" s="31">
        <v>20</v>
      </c>
      <c r="R49" s="31">
        <v>46</v>
      </c>
      <c r="S49" s="31">
        <v>33</v>
      </c>
      <c r="T49" s="31">
        <v>35</v>
      </c>
      <c r="U49" s="31">
        <v>35</v>
      </c>
      <c r="V49" s="31">
        <v>47</v>
      </c>
      <c r="W49" s="31">
        <v>43</v>
      </c>
      <c r="X49" s="109">
        <v>100</v>
      </c>
    </row>
    <row r="50" spans="1:24" x14ac:dyDescent="0.4">
      <c r="A50" s="103">
        <f>IF(B50&lt;&gt;"",COUNTA($B$35:B50),"")</f>
        <v>16</v>
      </c>
      <c r="B50" s="13" t="s">
        <v>76</v>
      </c>
      <c r="C50" s="13" t="s">
        <v>77</v>
      </c>
      <c r="D50" s="33">
        <f t="shared" si="8"/>
        <v>68.666666666666671</v>
      </c>
      <c r="E50" s="103" t="str">
        <f t="shared" si="12"/>
        <v>FAIL</v>
      </c>
      <c r="F50" s="103" t="str">
        <f t="shared" si="11"/>
        <v>FAIL</v>
      </c>
      <c r="G50" s="34" t="str">
        <f t="shared" si="10"/>
        <v>FC</v>
      </c>
      <c r="H50" s="31">
        <v>40</v>
      </c>
      <c r="I50" s="31">
        <v>9</v>
      </c>
      <c r="J50" s="31">
        <v>40</v>
      </c>
      <c r="K50" s="31">
        <v>20</v>
      </c>
      <c r="L50" s="31">
        <v>41</v>
      </c>
      <c r="M50" s="31">
        <v>19</v>
      </c>
      <c r="N50" s="31">
        <v>44</v>
      </c>
      <c r="O50" s="31">
        <v>43</v>
      </c>
      <c r="P50" s="31">
        <v>33</v>
      </c>
      <c r="Q50" s="31">
        <v>13</v>
      </c>
      <c r="R50" s="31">
        <v>43</v>
      </c>
      <c r="S50" s="31">
        <v>25</v>
      </c>
      <c r="T50" s="31">
        <v>37</v>
      </c>
      <c r="U50" s="31">
        <v>18</v>
      </c>
      <c r="V50" s="31">
        <v>48</v>
      </c>
      <c r="W50" s="31">
        <v>45</v>
      </c>
      <c r="X50" s="109">
        <v>100</v>
      </c>
    </row>
    <row r="51" spans="1:24" x14ac:dyDescent="0.4">
      <c r="A51" s="103">
        <f>IF(B51&lt;&gt;"",COUNTA($B$35:B51),"")</f>
        <v>17</v>
      </c>
      <c r="B51" s="13" t="s">
        <v>78</v>
      </c>
      <c r="C51" s="13" t="s">
        <v>79</v>
      </c>
      <c r="D51" s="33">
        <f t="shared" si="8"/>
        <v>70.777777777777771</v>
      </c>
      <c r="E51" s="103" t="str">
        <f t="shared" si="12"/>
        <v>PASS</v>
      </c>
      <c r="F51" s="103" t="str">
        <f t="shared" si="11"/>
        <v>FCD</v>
      </c>
      <c r="G51" s="34" t="str">
        <f t="shared" si="10"/>
        <v>FCD</v>
      </c>
      <c r="H51" s="31">
        <v>35</v>
      </c>
      <c r="I51" s="31">
        <v>18</v>
      </c>
      <c r="J51" s="31">
        <v>37</v>
      </c>
      <c r="K51" s="31">
        <v>25</v>
      </c>
      <c r="L51" s="31">
        <v>39</v>
      </c>
      <c r="M51" s="31">
        <v>27</v>
      </c>
      <c r="N51" s="31">
        <v>34</v>
      </c>
      <c r="O51" s="31">
        <v>43</v>
      </c>
      <c r="P51" s="31">
        <v>39</v>
      </c>
      <c r="Q51" s="31">
        <v>25</v>
      </c>
      <c r="R51" s="31">
        <v>43</v>
      </c>
      <c r="S51" s="31">
        <v>21</v>
      </c>
      <c r="T51" s="31">
        <v>32</v>
      </c>
      <c r="U51" s="31">
        <v>25</v>
      </c>
      <c r="V51" s="31">
        <v>47</v>
      </c>
      <c r="W51" s="31">
        <v>47</v>
      </c>
      <c r="X51" s="109">
        <v>100</v>
      </c>
    </row>
    <row r="52" spans="1:24" x14ac:dyDescent="0.4">
      <c r="A52" s="103">
        <f>IF(B52&lt;&gt;"",COUNTA($B$35:B52),"")</f>
        <v>18</v>
      </c>
      <c r="B52" s="13" t="s">
        <v>80</v>
      </c>
      <c r="C52" s="13" t="s">
        <v>81</v>
      </c>
      <c r="D52" s="33">
        <f t="shared" si="8"/>
        <v>69.666666666666671</v>
      </c>
      <c r="E52" s="103" t="str">
        <f t="shared" si="12"/>
        <v>FAIL</v>
      </c>
      <c r="F52" s="103" t="str">
        <f t="shared" si="11"/>
        <v>FAIL</v>
      </c>
      <c r="G52" s="34" t="str">
        <f t="shared" si="10"/>
        <v>FC</v>
      </c>
      <c r="H52" s="31">
        <v>35</v>
      </c>
      <c r="I52" s="31">
        <v>11</v>
      </c>
      <c r="J52" s="31">
        <v>35</v>
      </c>
      <c r="K52" s="31">
        <v>24</v>
      </c>
      <c r="L52" s="31">
        <v>41</v>
      </c>
      <c r="M52" s="31">
        <v>21</v>
      </c>
      <c r="N52" s="31">
        <v>44</v>
      </c>
      <c r="O52" s="31">
        <v>30</v>
      </c>
      <c r="P52" s="31">
        <v>39</v>
      </c>
      <c r="Q52" s="31">
        <v>25</v>
      </c>
      <c r="R52" s="31">
        <v>43</v>
      </c>
      <c r="S52" s="31">
        <v>34</v>
      </c>
      <c r="T52" s="31">
        <v>30</v>
      </c>
      <c r="U52" s="31">
        <v>28</v>
      </c>
      <c r="V52" s="31">
        <v>47</v>
      </c>
      <c r="W52" s="31">
        <v>40</v>
      </c>
      <c r="X52" s="109">
        <v>100</v>
      </c>
    </row>
    <row r="53" spans="1:24" x14ac:dyDescent="0.4">
      <c r="A53" s="103">
        <f>IF(B53&lt;&gt;"",COUNTA($B$35:B53),"")</f>
        <v>19</v>
      </c>
      <c r="B53" s="13" t="s">
        <v>82</v>
      </c>
      <c r="C53" s="13" t="s">
        <v>83</v>
      </c>
      <c r="D53" s="33">
        <f t="shared" si="8"/>
        <v>80.666666666666657</v>
      </c>
      <c r="E53" s="103" t="str">
        <f t="shared" si="12"/>
        <v>PASS</v>
      </c>
      <c r="F53" s="103" t="str">
        <f t="shared" si="11"/>
        <v>FCD</v>
      </c>
      <c r="G53" s="34" t="str">
        <f t="shared" si="10"/>
        <v>FCD</v>
      </c>
      <c r="H53" s="31">
        <v>44</v>
      </c>
      <c r="I53" s="31">
        <v>18</v>
      </c>
      <c r="J53" s="31">
        <v>47</v>
      </c>
      <c r="K53" s="31">
        <v>26</v>
      </c>
      <c r="L53" s="31">
        <v>46</v>
      </c>
      <c r="M53" s="31">
        <v>34</v>
      </c>
      <c r="N53" s="31">
        <v>46</v>
      </c>
      <c r="O53" s="31">
        <v>45</v>
      </c>
      <c r="P53" s="31">
        <v>42</v>
      </c>
      <c r="Q53" s="31">
        <v>38</v>
      </c>
      <c r="R53" s="31">
        <v>44</v>
      </c>
      <c r="S53" s="31">
        <v>35</v>
      </c>
      <c r="T53" s="31">
        <v>40</v>
      </c>
      <c r="U53" s="31">
        <v>25</v>
      </c>
      <c r="V53" s="31">
        <v>48</v>
      </c>
      <c r="W53" s="31">
        <v>48</v>
      </c>
      <c r="X53" s="109">
        <v>100</v>
      </c>
    </row>
    <row r="54" spans="1:24" x14ac:dyDescent="0.4">
      <c r="A54" s="103">
        <f>IF(B54&lt;&gt;"",COUNTA($B$35:B54),"")</f>
        <v>20</v>
      </c>
      <c r="B54" s="13" t="s">
        <v>84</v>
      </c>
      <c r="C54" s="13" t="s">
        <v>85</v>
      </c>
      <c r="D54" s="33">
        <f t="shared" si="8"/>
        <v>78.222222222222229</v>
      </c>
      <c r="E54" s="103" t="str">
        <f t="shared" si="12"/>
        <v>FAIL</v>
      </c>
      <c r="F54" s="103" t="str">
        <f t="shared" si="11"/>
        <v>FAIL</v>
      </c>
      <c r="G54" s="34" t="str">
        <f t="shared" si="10"/>
        <v>FCD</v>
      </c>
      <c r="H54" s="31">
        <v>43</v>
      </c>
      <c r="I54" s="31">
        <v>10</v>
      </c>
      <c r="J54" s="31">
        <v>44</v>
      </c>
      <c r="K54" s="31">
        <v>33</v>
      </c>
      <c r="L54" s="31">
        <v>44</v>
      </c>
      <c r="M54" s="31">
        <v>23</v>
      </c>
      <c r="N54" s="31">
        <v>48</v>
      </c>
      <c r="O54" s="31">
        <v>40</v>
      </c>
      <c r="P54" s="31">
        <v>40</v>
      </c>
      <c r="Q54" s="31">
        <v>19</v>
      </c>
      <c r="R54" s="31">
        <v>43</v>
      </c>
      <c r="S54" s="31">
        <v>33</v>
      </c>
      <c r="T54" s="31">
        <v>47</v>
      </c>
      <c r="U54" s="31">
        <v>41</v>
      </c>
      <c r="V54" s="31">
        <v>48</v>
      </c>
      <c r="W54" s="31">
        <v>48</v>
      </c>
      <c r="X54" s="109">
        <v>100</v>
      </c>
    </row>
    <row r="55" spans="1:24" x14ac:dyDescent="0.4">
      <c r="A55" s="103">
        <f>IF(B55&lt;&gt;"",COUNTA($B$35:B55),"")</f>
        <v>21</v>
      </c>
      <c r="B55" s="13" t="s">
        <v>86</v>
      </c>
      <c r="C55" s="13" t="s">
        <v>87</v>
      </c>
      <c r="D55" s="33">
        <f t="shared" si="8"/>
        <v>63.777777777777779</v>
      </c>
      <c r="E55" s="103" t="str">
        <f t="shared" si="12"/>
        <v>FAIL</v>
      </c>
      <c r="F55" s="103" t="str">
        <f t="shared" si="11"/>
        <v>FAIL</v>
      </c>
      <c r="G55" s="34" t="str">
        <f t="shared" si="10"/>
        <v>FC</v>
      </c>
      <c r="H55" s="31">
        <v>37</v>
      </c>
      <c r="I55" s="31">
        <v>10</v>
      </c>
      <c r="J55" s="31">
        <v>32</v>
      </c>
      <c r="K55" s="31">
        <v>10</v>
      </c>
      <c r="L55" s="31">
        <v>35</v>
      </c>
      <c r="M55" s="31">
        <v>13</v>
      </c>
      <c r="N55" s="31">
        <v>41</v>
      </c>
      <c r="O55" s="31">
        <v>43</v>
      </c>
      <c r="P55" s="31">
        <v>37</v>
      </c>
      <c r="Q55" s="31">
        <v>22</v>
      </c>
      <c r="R55" s="31">
        <v>41</v>
      </c>
      <c r="S55" s="31">
        <v>18</v>
      </c>
      <c r="T55" s="31">
        <v>34</v>
      </c>
      <c r="U55" s="31">
        <v>12</v>
      </c>
      <c r="V55" s="31">
        <v>46</v>
      </c>
      <c r="W55" s="31">
        <v>43</v>
      </c>
      <c r="X55" s="109">
        <v>100</v>
      </c>
    </row>
    <row r="56" spans="1:24" x14ac:dyDescent="0.4">
      <c r="A56" s="103">
        <f>IF(B56&lt;&gt;"",COUNTA($B$35:B56),"")</f>
        <v>22</v>
      </c>
      <c r="B56" s="13" t="s">
        <v>88</v>
      </c>
      <c r="C56" s="13" t="s">
        <v>89</v>
      </c>
      <c r="D56" s="33">
        <f t="shared" si="8"/>
        <v>80.333333333333329</v>
      </c>
      <c r="E56" s="103" t="str">
        <f t="shared" si="12"/>
        <v>PASS</v>
      </c>
      <c r="F56" s="103" t="str">
        <f t="shared" si="11"/>
        <v>FCD</v>
      </c>
      <c r="G56" s="34" t="str">
        <f t="shared" si="10"/>
        <v>FCD</v>
      </c>
      <c r="H56" s="31">
        <v>43</v>
      </c>
      <c r="I56" s="31">
        <v>25</v>
      </c>
      <c r="J56" s="31">
        <v>47</v>
      </c>
      <c r="K56" s="31">
        <v>27</v>
      </c>
      <c r="L56" s="31">
        <v>46</v>
      </c>
      <c r="M56" s="31">
        <v>30</v>
      </c>
      <c r="N56" s="31">
        <v>47</v>
      </c>
      <c r="O56" s="31">
        <v>33</v>
      </c>
      <c r="P56" s="31">
        <v>46</v>
      </c>
      <c r="Q56" s="31">
        <v>18</v>
      </c>
      <c r="R56" s="31">
        <v>43</v>
      </c>
      <c r="S56" s="31">
        <v>33</v>
      </c>
      <c r="T56" s="31">
        <v>49</v>
      </c>
      <c r="U56" s="31">
        <v>37</v>
      </c>
      <c r="V56" s="31">
        <v>49</v>
      </c>
      <c r="W56" s="31">
        <v>50</v>
      </c>
      <c r="X56" s="109">
        <v>100</v>
      </c>
    </row>
    <row r="57" spans="1:24" x14ac:dyDescent="0.4">
      <c r="A57" s="103">
        <f>IF(B57&lt;&gt;"",COUNTA($B$35:B57),"")</f>
        <v>23</v>
      </c>
      <c r="B57" s="13" t="s">
        <v>90</v>
      </c>
      <c r="C57" s="13" t="s">
        <v>91</v>
      </c>
      <c r="D57" s="33">
        <f t="shared" si="8"/>
        <v>82</v>
      </c>
      <c r="E57" s="103" t="str">
        <f t="shared" si="12"/>
        <v>PASS</v>
      </c>
      <c r="F57" s="103" t="str">
        <f t="shared" si="11"/>
        <v>FCD</v>
      </c>
      <c r="G57" s="34" t="str">
        <f t="shared" si="10"/>
        <v>FCD</v>
      </c>
      <c r="H57" s="31">
        <v>46</v>
      </c>
      <c r="I57" s="31">
        <v>18</v>
      </c>
      <c r="J57" s="31">
        <v>43</v>
      </c>
      <c r="K57" s="31">
        <v>32</v>
      </c>
      <c r="L57" s="31">
        <v>45</v>
      </c>
      <c r="M57" s="31">
        <v>34</v>
      </c>
      <c r="N57" s="31">
        <v>46</v>
      </c>
      <c r="O57" s="31">
        <v>46</v>
      </c>
      <c r="P57" s="31">
        <v>46</v>
      </c>
      <c r="Q57" s="31">
        <v>30</v>
      </c>
      <c r="R57" s="31">
        <v>48</v>
      </c>
      <c r="S57" s="31">
        <v>37</v>
      </c>
      <c r="T57" s="31">
        <v>44</v>
      </c>
      <c r="U57" s="31">
        <v>26</v>
      </c>
      <c r="V57" s="31">
        <v>48</v>
      </c>
      <c r="W57" s="31">
        <v>49</v>
      </c>
      <c r="X57" s="109">
        <v>100</v>
      </c>
    </row>
    <row r="58" spans="1:24" x14ac:dyDescent="0.4">
      <c r="A58" s="103">
        <f>IF(B58&lt;&gt;"",COUNTA($B$35:B58),"")</f>
        <v>24</v>
      </c>
      <c r="B58" s="13" t="s">
        <v>92</v>
      </c>
      <c r="C58" s="13" t="s">
        <v>93</v>
      </c>
      <c r="D58" s="33">
        <f t="shared" si="8"/>
        <v>88.777777777777771</v>
      </c>
      <c r="E58" s="103" t="str">
        <f t="shared" si="12"/>
        <v>PASS</v>
      </c>
      <c r="F58" s="103" t="str">
        <f t="shared" si="11"/>
        <v>FCD</v>
      </c>
      <c r="G58" s="34" t="str">
        <f t="shared" si="10"/>
        <v>FCD</v>
      </c>
      <c r="H58" s="31">
        <v>50</v>
      </c>
      <c r="I58" s="31">
        <v>21</v>
      </c>
      <c r="J58" s="31">
        <v>50</v>
      </c>
      <c r="K58" s="31">
        <v>39</v>
      </c>
      <c r="L58" s="31">
        <v>50</v>
      </c>
      <c r="M58" s="31">
        <v>28</v>
      </c>
      <c r="N58" s="31">
        <v>49</v>
      </c>
      <c r="O58" s="31">
        <v>48</v>
      </c>
      <c r="P58" s="31">
        <v>50</v>
      </c>
      <c r="Q58" s="31">
        <v>26</v>
      </c>
      <c r="R58" s="31">
        <v>48</v>
      </c>
      <c r="S58" s="31">
        <v>44</v>
      </c>
      <c r="T58" s="31">
        <v>50</v>
      </c>
      <c r="U58" s="31">
        <v>46</v>
      </c>
      <c r="V58" s="31">
        <v>50</v>
      </c>
      <c r="W58" s="31">
        <v>50</v>
      </c>
      <c r="X58" s="109">
        <v>100</v>
      </c>
    </row>
    <row r="59" spans="1:24" x14ac:dyDescent="0.4">
      <c r="A59" s="103">
        <f>IF(B59&lt;&gt;"",COUNTA($B$35:B59),"")</f>
        <v>25</v>
      </c>
      <c r="B59" s="13" t="s">
        <v>94</v>
      </c>
      <c r="C59" s="13" t="s">
        <v>95</v>
      </c>
      <c r="D59" s="33">
        <f t="shared" si="8"/>
        <v>71.444444444444443</v>
      </c>
      <c r="E59" s="103" t="str">
        <f t="shared" si="12"/>
        <v>PASS</v>
      </c>
      <c r="F59" s="103" t="str">
        <f t="shared" si="11"/>
        <v>FCD</v>
      </c>
      <c r="G59" s="34" t="str">
        <f t="shared" si="10"/>
        <v>FCD</v>
      </c>
      <c r="H59" s="31">
        <v>38</v>
      </c>
      <c r="I59" s="31">
        <v>18</v>
      </c>
      <c r="J59" s="31">
        <v>34</v>
      </c>
      <c r="K59" s="31">
        <v>29</v>
      </c>
      <c r="L59" s="31">
        <v>33</v>
      </c>
      <c r="M59" s="31">
        <v>18</v>
      </c>
      <c r="N59" s="31">
        <v>44</v>
      </c>
      <c r="O59" s="31">
        <v>43</v>
      </c>
      <c r="P59" s="31">
        <v>41</v>
      </c>
      <c r="Q59" s="31">
        <v>36</v>
      </c>
      <c r="R59" s="31">
        <v>40</v>
      </c>
      <c r="S59" s="31">
        <v>27</v>
      </c>
      <c r="T59" s="31">
        <v>28</v>
      </c>
      <c r="U59" s="31">
        <v>30</v>
      </c>
      <c r="V59" s="31">
        <v>46</v>
      </c>
      <c r="W59" s="31">
        <v>38</v>
      </c>
      <c r="X59" s="109">
        <v>100</v>
      </c>
    </row>
    <row r="60" spans="1:24" x14ac:dyDescent="0.4">
      <c r="A60" s="103">
        <f>IF(B60&lt;&gt;"",COUNTA($B$35:B60),"")</f>
        <v>26</v>
      </c>
      <c r="B60" s="13" t="s">
        <v>96</v>
      </c>
      <c r="C60" s="13" t="s">
        <v>97</v>
      </c>
      <c r="D60" s="33">
        <f t="shared" si="8"/>
        <v>79.222222222222229</v>
      </c>
      <c r="E60" s="103" t="str">
        <f t="shared" si="12"/>
        <v>PASS</v>
      </c>
      <c r="F60" s="103" t="str">
        <f t="shared" si="11"/>
        <v>FCD</v>
      </c>
      <c r="G60" s="34" t="str">
        <f t="shared" si="10"/>
        <v>FCD</v>
      </c>
      <c r="H60" s="31">
        <v>45</v>
      </c>
      <c r="I60" s="31">
        <v>18</v>
      </c>
      <c r="J60" s="31">
        <v>45</v>
      </c>
      <c r="K60" s="31">
        <v>25</v>
      </c>
      <c r="L60" s="31">
        <v>42</v>
      </c>
      <c r="M60" s="31">
        <v>22</v>
      </c>
      <c r="N60" s="31">
        <v>46</v>
      </c>
      <c r="O60" s="31">
        <v>45</v>
      </c>
      <c r="P60" s="31">
        <v>45</v>
      </c>
      <c r="Q60" s="31">
        <v>37</v>
      </c>
      <c r="R60" s="31">
        <v>43</v>
      </c>
      <c r="S60" s="31">
        <v>34</v>
      </c>
      <c r="T60" s="31">
        <v>46</v>
      </c>
      <c r="U60" s="31">
        <v>27</v>
      </c>
      <c r="V60" s="31">
        <v>48</v>
      </c>
      <c r="W60" s="31">
        <v>45</v>
      </c>
      <c r="X60" s="109">
        <v>100</v>
      </c>
    </row>
    <row r="61" spans="1:24" x14ac:dyDescent="0.4">
      <c r="A61" s="103">
        <f>IF(B61&lt;&gt;"",COUNTA($B$35:B61),"")</f>
        <v>27</v>
      </c>
      <c r="B61" s="13" t="s">
        <v>98</v>
      </c>
      <c r="C61" s="13" t="s">
        <v>99</v>
      </c>
      <c r="D61" s="33">
        <f t="shared" si="8"/>
        <v>86.444444444444443</v>
      </c>
      <c r="E61" s="103" t="str">
        <f t="shared" si="12"/>
        <v>PASS</v>
      </c>
      <c r="F61" s="103" t="str">
        <f t="shared" si="11"/>
        <v>FCD</v>
      </c>
      <c r="G61" s="34" t="str">
        <f t="shared" si="10"/>
        <v>FCD</v>
      </c>
      <c r="H61" s="31">
        <v>49</v>
      </c>
      <c r="I61" s="31">
        <v>18</v>
      </c>
      <c r="J61" s="31">
        <v>49</v>
      </c>
      <c r="K61" s="31">
        <v>31</v>
      </c>
      <c r="L61" s="31">
        <v>49</v>
      </c>
      <c r="M61" s="31">
        <v>31</v>
      </c>
      <c r="N61" s="31">
        <v>49</v>
      </c>
      <c r="O61" s="31">
        <v>47</v>
      </c>
      <c r="P61" s="31">
        <v>41</v>
      </c>
      <c r="Q61" s="31">
        <v>40</v>
      </c>
      <c r="R61" s="31">
        <v>44</v>
      </c>
      <c r="S61" s="31">
        <v>37</v>
      </c>
      <c r="T61" s="31">
        <v>50</v>
      </c>
      <c r="U61" s="31">
        <v>45</v>
      </c>
      <c r="V61" s="31">
        <v>50</v>
      </c>
      <c r="W61" s="31">
        <v>48</v>
      </c>
      <c r="X61" s="109">
        <v>100</v>
      </c>
    </row>
    <row r="62" spans="1:24" x14ac:dyDescent="0.4">
      <c r="A62" s="103">
        <f>IF(B62&lt;&gt;"",COUNTA($B$35:B62),"")</f>
        <v>28</v>
      </c>
      <c r="B62" s="13" t="s">
        <v>100</v>
      </c>
      <c r="C62" s="13" t="s">
        <v>101</v>
      </c>
      <c r="D62" s="33">
        <f t="shared" si="8"/>
        <v>73.888888888888886</v>
      </c>
      <c r="E62" s="103" t="str">
        <f t="shared" si="12"/>
        <v>FAIL</v>
      </c>
      <c r="F62" s="103" t="str">
        <f t="shared" si="11"/>
        <v>FAIL</v>
      </c>
      <c r="G62" s="34" t="str">
        <f t="shared" si="10"/>
        <v>FCD</v>
      </c>
      <c r="H62" s="31">
        <v>37</v>
      </c>
      <c r="I62" s="31">
        <v>4</v>
      </c>
      <c r="J62" s="31">
        <v>39</v>
      </c>
      <c r="K62" s="31">
        <v>19</v>
      </c>
      <c r="L62" s="31">
        <v>40</v>
      </c>
      <c r="M62" s="31">
        <v>19</v>
      </c>
      <c r="N62" s="31">
        <v>46</v>
      </c>
      <c r="O62" s="31">
        <v>44</v>
      </c>
      <c r="P62" s="31">
        <v>42</v>
      </c>
      <c r="Q62" s="31">
        <v>26</v>
      </c>
      <c r="R62" s="31">
        <v>44</v>
      </c>
      <c r="S62" s="31">
        <v>33</v>
      </c>
      <c r="T62" s="31">
        <v>44</v>
      </c>
      <c r="U62" s="31">
        <v>36</v>
      </c>
      <c r="V62" s="31">
        <v>46</v>
      </c>
      <c r="W62" s="31">
        <v>46</v>
      </c>
      <c r="X62" s="109">
        <v>100</v>
      </c>
    </row>
    <row r="63" spans="1:24" x14ac:dyDescent="0.4">
      <c r="A63" s="103">
        <f>IF(B63&lt;&gt;"",COUNTA($B$35:B63),"")</f>
        <v>29</v>
      </c>
      <c r="B63" s="13" t="s">
        <v>102</v>
      </c>
      <c r="C63" s="13" t="s">
        <v>103</v>
      </c>
      <c r="D63" s="33">
        <f t="shared" si="8"/>
        <v>75.444444444444443</v>
      </c>
      <c r="E63" s="103" t="str">
        <f t="shared" si="12"/>
        <v>FAIL</v>
      </c>
      <c r="F63" s="103" t="str">
        <f t="shared" si="11"/>
        <v>FAIL</v>
      </c>
      <c r="G63" s="34" t="str">
        <f t="shared" si="10"/>
        <v>FCD</v>
      </c>
      <c r="H63" s="31">
        <v>43</v>
      </c>
      <c r="I63" s="31">
        <v>19</v>
      </c>
      <c r="J63" s="31">
        <v>43</v>
      </c>
      <c r="K63" s="31">
        <v>10</v>
      </c>
      <c r="L63" s="31">
        <v>37</v>
      </c>
      <c r="M63" s="31">
        <v>18</v>
      </c>
      <c r="N63" s="31">
        <v>46</v>
      </c>
      <c r="O63" s="31">
        <v>46</v>
      </c>
      <c r="P63" s="31">
        <v>45</v>
      </c>
      <c r="Q63" s="31">
        <v>22</v>
      </c>
      <c r="R63" s="31">
        <v>45</v>
      </c>
      <c r="S63" s="31">
        <v>33</v>
      </c>
      <c r="T63" s="31">
        <v>48</v>
      </c>
      <c r="U63" s="31">
        <v>30</v>
      </c>
      <c r="V63" s="31">
        <v>46</v>
      </c>
      <c r="W63" s="31">
        <v>48</v>
      </c>
      <c r="X63" s="109">
        <v>100</v>
      </c>
    </row>
    <row r="64" spans="1:24" x14ac:dyDescent="0.4">
      <c r="A64" s="103">
        <f>IF(B64&lt;&gt;"",COUNTA($B$35:B64),"")</f>
        <v>30</v>
      </c>
      <c r="B64" s="13" t="s">
        <v>104</v>
      </c>
      <c r="C64" s="13" t="s">
        <v>105</v>
      </c>
      <c r="D64" s="33">
        <f t="shared" si="8"/>
        <v>61.888888888888893</v>
      </c>
      <c r="E64" s="103" t="str">
        <f t="shared" si="12"/>
        <v>FAIL</v>
      </c>
      <c r="F64" s="103" t="str">
        <f t="shared" si="11"/>
        <v>FAIL</v>
      </c>
      <c r="G64" s="34" t="str">
        <f t="shared" si="10"/>
        <v>FC</v>
      </c>
      <c r="H64" s="31">
        <v>34</v>
      </c>
      <c r="I64" s="31">
        <v>6</v>
      </c>
      <c r="J64" s="31">
        <v>34</v>
      </c>
      <c r="K64" s="31">
        <v>22</v>
      </c>
      <c r="L64" s="31">
        <v>27</v>
      </c>
      <c r="M64" s="31">
        <v>11</v>
      </c>
      <c r="N64" s="31">
        <v>44</v>
      </c>
      <c r="O64" s="31">
        <v>25</v>
      </c>
      <c r="P64" s="31">
        <v>37</v>
      </c>
      <c r="Q64" s="31">
        <v>34</v>
      </c>
      <c r="R64" s="31">
        <v>44</v>
      </c>
      <c r="S64" s="31">
        <v>20</v>
      </c>
      <c r="T64" s="31">
        <v>37</v>
      </c>
      <c r="U64" s="31">
        <v>18</v>
      </c>
      <c r="V64" s="31">
        <v>44</v>
      </c>
      <c r="W64" s="31">
        <v>20</v>
      </c>
      <c r="X64" s="109">
        <v>100</v>
      </c>
    </row>
    <row r="65" spans="1:24" x14ac:dyDescent="0.4">
      <c r="A65" s="103">
        <f>IF(B65&lt;&gt;"",COUNTA($B$35:B65),"")</f>
        <v>31</v>
      </c>
      <c r="B65" s="13" t="s">
        <v>106</v>
      </c>
      <c r="C65" s="13" t="s">
        <v>107</v>
      </c>
      <c r="D65" s="33">
        <f t="shared" si="8"/>
        <v>55.777777777777779</v>
      </c>
      <c r="E65" s="103" t="str">
        <f t="shared" si="12"/>
        <v>FAIL</v>
      </c>
      <c r="F65" s="103" t="str">
        <f t="shared" si="11"/>
        <v>FAIL</v>
      </c>
      <c r="G65" s="34" t="str">
        <f t="shared" si="10"/>
        <v>SC</v>
      </c>
      <c r="H65" s="31">
        <v>33</v>
      </c>
      <c r="I65" s="31">
        <v>1</v>
      </c>
      <c r="J65" s="31">
        <v>26</v>
      </c>
      <c r="K65" s="31">
        <v>10</v>
      </c>
      <c r="L65" s="31">
        <v>25</v>
      </c>
      <c r="M65" s="31">
        <v>3</v>
      </c>
      <c r="N65" s="31">
        <v>25</v>
      </c>
      <c r="O65" s="31">
        <v>27</v>
      </c>
      <c r="P65" s="31">
        <v>34</v>
      </c>
      <c r="Q65" s="31">
        <v>33</v>
      </c>
      <c r="R65" s="31">
        <v>40</v>
      </c>
      <c r="S65" s="31">
        <v>25</v>
      </c>
      <c r="T65" s="31">
        <v>26</v>
      </c>
      <c r="U65" s="31">
        <v>10</v>
      </c>
      <c r="V65" s="31">
        <v>46</v>
      </c>
      <c r="W65" s="31">
        <v>38</v>
      </c>
      <c r="X65" s="109">
        <v>100</v>
      </c>
    </row>
    <row r="66" spans="1:24" x14ac:dyDescent="0.4">
      <c r="A66" s="103">
        <f>IF(B66&lt;&gt;"",COUNTA($B$35:B66),"")</f>
        <v>32</v>
      </c>
      <c r="B66" s="13" t="s">
        <v>108</v>
      </c>
      <c r="C66" s="13" t="s">
        <v>109</v>
      </c>
      <c r="D66" s="33">
        <f t="shared" si="8"/>
        <v>70.777777777777771</v>
      </c>
      <c r="E66" s="103" t="str">
        <f t="shared" si="12"/>
        <v>FAIL</v>
      </c>
      <c r="F66" s="103" t="str">
        <f t="shared" si="11"/>
        <v>FAIL</v>
      </c>
      <c r="G66" s="34" t="str">
        <f t="shared" si="10"/>
        <v>FCD</v>
      </c>
      <c r="H66" s="31">
        <v>41</v>
      </c>
      <c r="I66" s="31">
        <v>10</v>
      </c>
      <c r="J66" s="31">
        <v>37</v>
      </c>
      <c r="K66" s="31">
        <v>25</v>
      </c>
      <c r="L66" s="31">
        <v>36</v>
      </c>
      <c r="M66" s="31">
        <v>21</v>
      </c>
      <c r="N66" s="31">
        <v>45</v>
      </c>
      <c r="O66" s="31">
        <v>30</v>
      </c>
      <c r="P66" s="31">
        <v>37</v>
      </c>
      <c r="Q66" s="31">
        <v>37</v>
      </c>
      <c r="R66" s="31">
        <v>41</v>
      </c>
      <c r="S66" s="31">
        <v>28</v>
      </c>
      <c r="T66" s="31">
        <v>32</v>
      </c>
      <c r="U66" s="31">
        <v>33</v>
      </c>
      <c r="V66" s="31">
        <v>46</v>
      </c>
      <c r="W66" s="31">
        <v>38</v>
      </c>
      <c r="X66" s="109">
        <v>100</v>
      </c>
    </row>
    <row r="67" spans="1:24" x14ac:dyDescent="0.4">
      <c r="A67" s="103">
        <f>IF(B67&lt;&gt;"",COUNTA($B$35:B67),"")</f>
        <v>33</v>
      </c>
      <c r="B67" s="13" t="s">
        <v>110</v>
      </c>
      <c r="C67" s="13" t="s">
        <v>111</v>
      </c>
      <c r="D67" s="33">
        <f t="shared" ref="D67:D96" si="13">IF(C67="","",(SUM(H67:X67)/D$31)*100)</f>
        <v>69.777777777777786</v>
      </c>
      <c r="E67" s="103" t="str">
        <f t="shared" si="12"/>
        <v>FAIL</v>
      </c>
      <c r="F67" s="103" t="str">
        <f t="shared" si="11"/>
        <v>FAIL</v>
      </c>
      <c r="G67" s="34" t="str">
        <f t="shared" si="10"/>
        <v>FC</v>
      </c>
      <c r="H67" s="31">
        <v>44</v>
      </c>
      <c r="I67" s="31">
        <v>9</v>
      </c>
      <c r="J67" s="31">
        <v>39</v>
      </c>
      <c r="K67" s="31">
        <v>19</v>
      </c>
      <c r="L67" s="31">
        <v>34</v>
      </c>
      <c r="M67" s="31">
        <v>18</v>
      </c>
      <c r="N67" s="31">
        <v>45</v>
      </c>
      <c r="O67" s="31">
        <v>42</v>
      </c>
      <c r="P67" s="31">
        <v>38</v>
      </c>
      <c r="Q67" s="31">
        <v>25</v>
      </c>
      <c r="R67" s="31">
        <v>40</v>
      </c>
      <c r="S67" s="31">
        <v>23</v>
      </c>
      <c r="T67" s="31">
        <v>31</v>
      </c>
      <c r="U67" s="31">
        <v>32</v>
      </c>
      <c r="V67" s="31">
        <v>46</v>
      </c>
      <c r="W67" s="31">
        <v>43</v>
      </c>
      <c r="X67" s="109">
        <v>100</v>
      </c>
    </row>
    <row r="68" spans="1:24" x14ac:dyDescent="0.4">
      <c r="A68" s="103">
        <f>IF(B68&lt;&gt;"",COUNTA($B$35:B68),"")</f>
        <v>34</v>
      </c>
      <c r="B68" s="13" t="s">
        <v>112</v>
      </c>
      <c r="C68" s="13" t="s">
        <v>113</v>
      </c>
      <c r="D68" s="33">
        <f t="shared" si="13"/>
        <v>78.555555555555557</v>
      </c>
      <c r="E68" s="103" t="str">
        <f t="shared" si="12"/>
        <v>PASS</v>
      </c>
      <c r="F68" s="103" t="str">
        <f t="shared" si="11"/>
        <v>FCD</v>
      </c>
      <c r="G68" s="34" t="str">
        <f t="shared" si="10"/>
        <v>FCD</v>
      </c>
      <c r="H68" s="31">
        <v>46</v>
      </c>
      <c r="I68" s="31">
        <v>22</v>
      </c>
      <c r="J68" s="31">
        <v>44</v>
      </c>
      <c r="K68" s="31">
        <v>31</v>
      </c>
      <c r="L68" s="31">
        <v>40</v>
      </c>
      <c r="M68" s="31">
        <v>24</v>
      </c>
      <c r="N68" s="31">
        <v>47</v>
      </c>
      <c r="O68" s="31">
        <v>35</v>
      </c>
      <c r="P68" s="31">
        <v>43</v>
      </c>
      <c r="Q68" s="31">
        <v>26</v>
      </c>
      <c r="R68" s="31">
        <v>44</v>
      </c>
      <c r="S68" s="31">
        <v>33</v>
      </c>
      <c r="T68" s="31">
        <v>42</v>
      </c>
      <c r="U68" s="31">
        <v>33</v>
      </c>
      <c r="V68" s="31">
        <v>48</v>
      </c>
      <c r="W68" s="31">
        <v>49</v>
      </c>
      <c r="X68" s="109">
        <v>100</v>
      </c>
    </row>
    <row r="69" spans="1:24" x14ac:dyDescent="0.4">
      <c r="A69" s="103">
        <f>IF(B69&lt;&gt;"",COUNTA($B$35:B69),"")</f>
        <v>35</v>
      </c>
      <c r="B69" s="13" t="s">
        <v>114</v>
      </c>
      <c r="C69" s="13" t="s">
        <v>115</v>
      </c>
      <c r="D69" s="33">
        <f t="shared" si="13"/>
        <v>75.666666666666671</v>
      </c>
      <c r="E69" s="103" t="str">
        <f t="shared" si="12"/>
        <v>PASS</v>
      </c>
      <c r="F69" s="103" t="str">
        <f t="shared" si="11"/>
        <v>FCD</v>
      </c>
      <c r="G69" s="34" t="str">
        <f t="shared" si="10"/>
        <v>FCD</v>
      </c>
      <c r="H69" s="31">
        <v>44</v>
      </c>
      <c r="I69" s="31">
        <v>18</v>
      </c>
      <c r="J69" s="31">
        <v>43</v>
      </c>
      <c r="K69" s="31">
        <v>18</v>
      </c>
      <c r="L69" s="31">
        <v>40</v>
      </c>
      <c r="M69" s="31">
        <v>19</v>
      </c>
      <c r="N69" s="31">
        <v>46</v>
      </c>
      <c r="O69" s="31">
        <v>38</v>
      </c>
      <c r="P69" s="31">
        <v>40</v>
      </c>
      <c r="Q69" s="31">
        <v>38</v>
      </c>
      <c r="R69" s="31">
        <v>45</v>
      </c>
      <c r="S69" s="31">
        <v>24</v>
      </c>
      <c r="T69" s="31">
        <v>46</v>
      </c>
      <c r="U69" s="31">
        <v>26</v>
      </c>
      <c r="V69" s="31">
        <v>47</v>
      </c>
      <c r="W69" s="31">
        <v>49</v>
      </c>
      <c r="X69" s="109">
        <v>100</v>
      </c>
    </row>
    <row r="70" spans="1:24" x14ac:dyDescent="0.4">
      <c r="A70" s="103">
        <f>IF(B70&lt;&gt;"",COUNTA($B$35:B70),"")</f>
        <v>36</v>
      </c>
      <c r="B70" s="13" t="s">
        <v>116</v>
      </c>
      <c r="C70" s="13" t="s">
        <v>117</v>
      </c>
      <c r="D70" s="33">
        <f t="shared" si="13"/>
        <v>85.222222222222229</v>
      </c>
      <c r="E70" s="103" t="str">
        <f t="shared" si="12"/>
        <v>PASS</v>
      </c>
      <c r="F70" s="103" t="str">
        <f t="shared" si="11"/>
        <v>FCD</v>
      </c>
      <c r="G70" s="34" t="str">
        <f t="shared" si="10"/>
        <v>FCD</v>
      </c>
      <c r="H70" s="31">
        <v>49</v>
      </c>
      <c r="I70" s="31">
        <v>18</v>
      </c>
      <c r="J70" s="31">
        <v>48</v>
      </c>
      <c r="K70" s="31">
        <v>31</v>
      </c>
      <c r="L70" s="31">
        <v>47</v>
      </c>
      <c r="M70" s="31">
        <v>27</v>
      </c>
      <c r="N70" s="31">
        <v>48</v>
      </c>
      <c r="O70" s="31">
        <v>45</v>
      </c>
      <c r="P70" s="31">
        <v>48</v>
      </c>
      <c r="Q70" s="31">
        <v>35</v>
      </c>
      <c r="R70" s="31">
        <v>47</v>
      </c>
      <c r="S70" s="31">
        <v>36</v>
      </c>
      <c r="T70" s="31">
        <v>45</v>
      </c>
      <c r="U70" s="31">
        <v>45</v>
      </c>
      <c r="V70" s="31">
        <v>49</v>
      </c>
      <c r="W70" s="31">
        <v>49</v>
      </c>
      <c r="X70" s="109">
        <v>100</v>
      </c>
    </row>
    <row r="71" spans="1:24" x14ac:dyDescent="0.4">
      <c r="A71" s="103">
        <f>IF(B71&lt;&gt;"",COUNTA($B$35:B71),"")</f>
        <v>37</v>
      </c>
      <c r="B71" s="13" t="s">
        <v>118</v>
      </c>
      <c r="C71" s="13" t="s">
        <v>119</v>
      </c>
      <c r="D71" s="33">
        <f t="shared" si="13"/>
        <v>76</v>
      </c>
      <c r="E71" s="103" t="str">
        <f t="shared" si="12"/>
        <v>PASS</v>
      </c>
      <c r="F71" s="103" t="str">
        <f t="shared" si="11"/>
        <v>FCD</v>
      </c>
      <c r="G71" s="34" t="str">
        <f t="shared" si="10"/>
        <v>FCD</v>
      </c>
      <c r="H71" s="31">
        <v>43</v>
      </c>
      <c r="I71" s="31">
        <v>20</v>
      </c>
      <c r="J71" s="31">
        <v>40</v>
      </c>
      <c r="K71" s="31">
        <v>29</v>
      </c>
      <c r="L71" s="31">
        <v>45</v>
      </c>
      <c r="M71" s="31">
        <v>20</v>
      </c>
      <c r="N71" s="31">
        <v>45</v>
      </c>
      <c r="O71" s="31">
        <v>33</v>
      </c>
      <c r="P71" s="31">
        <v>43</v>
      </c>
      <c r="Q71" s="31">
        <v>27</v>
      </c>
      <c r="R71" s="31">
        <v>46</v>
      </c>
      <c r="S71" s="31">
        <v>24</v>
      </c>
      <c r="T71" s="31">
        <v>48</v>
      </c>
      <c r="U71" s="31">
        <v>36</v>
      </c>
      <c r="V71" s="31">
        <v>47</v>
      </c>
      <c r="W71" s="31">
        <v>38</v>
      </c>
      <c r="X71" s="109">
        <v>100</v>
      </c>
    </row>
    <row r="72" spans="1:24" x14ac:dyDescent="0.4">
      <c r="A72" s="103">
        <f>IF(B72&lt;&gt;"",COUNTA($B$35:B72),"")</f>
        <v>38</v>
      </c>
      <c r="B72" s="13" t="s">
        <v>120</v>
      </c>
      <c r="C72" s="13" t="s">
        <v>121</v>
      </c>
      <c r="D72" s="33">
        <f t="shared" si="13"/>
        <v>83.888888888888886</v>
      </c>
      <c r="E72" s="103" t="str">
        <f t="shared" si="12"/>
        <v>PASS</v>
      </c>
      <c r="F72" s="103" t="str">
        <f t="shared" si="11"/>
        <v>FCD</v>
      </c>
      <c r="G72" s="34" t="str">
        <f t="shared" si="10"/>
        <v>FCD</v>
      </c>
      <c r="H72" s="31">
        <v>49</v>
      </c>
      <c r="I72" s="31">
        <v>19</v>
      </c>
      <c r="J72" s="31">
        <v>47</v>
      </c>
      <c r="K72" s="31">
        <v>31</v>
      </c>
      <c r="L72" s="31">
        <v>46</v>
      </c>
      <c r="M72" s="31">
        <v>27</v>
      </c>
      <c r="N72" s="31">
        <v>48</v>
      </c>
      <c r="O72" s="31">
        <v>41</v>
      </c>
      <c r="P72" s="31">
        <v>44</v>
      </c>
      <c r="Q72" s="31">
        <v>25</v>
      </c>
      <c r="R72" s="31">
        <v>45</v>
      </c>
      <c r="S72" s="31">
        <v>40</v>
      </c>
      <c r="T72" s="31">
        <v>49</v>
      </c>
      <c r="U72" s="31">
        <v>46</v>
      </c>
      <c r="V72" s="31">
        <v>49</v>
      </c>
      <c r="W72" s="31">
        <v>49</v>
      </c>
      <c r="X72" s="109">
        <v>100</v>
      </c>
    </row>
    <row r="73" spans="1:24" x14ac:dyDescent="0.4">
      <c r="A73" s="103">
        <f>IF(B73&lt;&gt;"",COUNTA($B$35:B73),"")</f>
        <v>39</v>
      </c>
      <c r="B73" s="13" t="s">
        <v>122</v>
      </c>
      <c r="C73" s="13" t="s">
        <v>123</v>
      </c>
      <c r="D73" s="33">
        <f t="shared" si="13"/>
        <v>85.555555555555557</v>
      </c>
      <c r="E73" s="103" t="str">
        <f t="shared" si="12"/>
        <v>PASS</v>
      </c>
      <c r="F73" s="103" t="str">
        <f t="shared" si="11"/>
        <v>FCD</v>
      </c>
      <c r="G73" s="34" t="str">
        <f t="shared" si="10"/>
        <v>FCD</v>
      </c>
      <c r="H73" s="31">
        <v>48</v>
      </c>
      <c r="I73" s="31">
        <v>19</v>
      </c>
      <c r="J73" s="31">
        <v>48</v>
      </c>
      <c r="K73" s="31">
        <v>34</v>
      </c>
      <c r="L73" s="31">
        <v>47</v>
      </c>
      <c r="M73" s="31">
        <v>32</v>
      </c>
      <c r="N73" s="31">
        <v>48</v>
      </c>
      <c r="O73" s="31">
        <v>45</v>
      </c>
      <c r="P73" s="31">
        <v>50</v>
      </c>
      <c r="Q73" s="31">
        <v>44</v>
      </c>
      <c r="R73" s="31">
        <v>46</v>
      </c>
      <c r="S73" s="31">
        <v>34</v>
      </c>
      <c r="T73" s="31">
        <v>40</v>
      </c>
      <c r="U73" s="31">
        <v>37</v>
      </c>
      <c r="V73" s="31">
        <v>49</v>
      </c>
      <c r="W73" s="31">
        <v>49</v>
      </c>
      <c r="X73" s="109">
        <v>100</v>
      </c>
    </row>
    <row r="74" spans="1:24" x14ac:dyDescent="0.4">
      <c r="A74" s="103">
        <f>IF(B74&lt;&gt;"",COUNTA($B$35:B74),"")</f>
        <v>40</v>
      </c>
      <c r="B74" s="13" t="s">
        <v>124</v>
      </c>
      <c r="C74" s="13" t="s">
        <v>125</v>
      </c>
      <c r="D74" s="33">
        <f t="shared" si="13"/>
        <v>81.222222222222214</v>
      </c>
      <c r="E74" s="103" t="str">
        <f t="shared" si="12"/>
        <v>PASS</v>
      </c>
      <c r="F74" s="103" t="str">
        <f t="shared" si="11"/>
        <v>FCD</v>
      </c>
      <c r="G74" s="34" t="str">
        <f t="shared" si="10"/>
        <v>FCD</v>
      </c>
      <c r="H74" s="31">
        <v>49</v>
      </c>
      <c r="I74" s="31">
        <v>18</v>
      </c>
      <c r="J74" s="31">
        <v>42</v>
      </c>
      <c r="K74" s="31">
        <v>18</v>
      </c>
      <c r="L74" s="31">
        <v>47</v>
      </c>
      <c r="M74" s="31">
        <v>29</v>
      </c>
      <c r="N74" s="31">
        <v>47</v>
      </c>
      <c r="O74" s="31">
        <v>40</v>
      </c>
      <c r="P74" s="31">
        <v>37</v>
      </c>
      <c r="Q74" s="31">
        <v>38</v>
      </c>
      <c r="R74" s="31">
        <v>46</v>
      </c>
      <c r="S74" s="31">
        <v>39</v>
      </c>
      <c r="T74" s="31">
        <v>49</v>
      </c>
      <c r="U74" s="31">
        <v>35</v>
      </c>
      <c r="V74" s="31">
        <v>49</v>
      </c>
      <c r="W74" s="31">
        <v>48</v>
      </c>
      <c r="X74" s="109">
        <v>100</v>
      </c>
    </row>
    <row r="75" spans="1:24" x14ac:dyDescent="0.4">
      <c r="A75" s="103">
        <f>IF(B75&lt;&gt;"",COUNTA($B$35:B75),"")</f>
        <v>41</v>
      </c>
      <c r="B75" s="13" t="s">
        <v>126</v>
      </c>
      <c r="C75" s="13" t="s">
        <v>127</v>
      </c>
      <c r="D75" s="33">
        <f t="shared" si="13"/>
        <v>80.666666666666657</v>
      </c>
      <c r="E75" s="103" t="str">
        <f t="shared" si="12"/>
        <v>PASS</v>
      </c>
      <c r="F75" s="103" t="str">
        <f t="shared" si="11"/>
        <v>FCD</v>
      </c>
      <c r="G75" s="34" t="str">
        <f t="shared" si="10"/>
        <v>FCD</v>
      </c>
      <c r="H75" s="31">
        <v>48</v>
      </c>
      <c r="I75" s="31">
        <v>22</v>
      </c>
      <c r="J75" s="31">
        <v>42</v>
      </c>
      <c r="K75" s="31">
        <v>27</v>
      </c>
      <c r="L75" s="31">
        <v>39</v>
      </c>
      <c r="M75" s="31">
        <v>28</v>
      </c>
      <c r="N75" s="31">
        <v>45</v>
      </c>
      <c r="O75" s="31">
        <v>30</v>
      </c>
      <c r="P75" s="31">
        <v>41</v>
      </c>
      <c r="Q75" s="31">
        <v>38</v>
      </c>
      <c r="R75" s="31">
        <v>48</v>
      </c>
      <c r="S75" s="31">
        <v>31</v>
      </c>
      <c r="T75" s="31">
        <v>45</v>
      </c>
      <c r="U75" s="31">
        <v>44</v>
      </c>
      <c r="V75" s="31">
        <v>48</v>
      </c>
      <c r="W75" s="31">
        <v>50</v>
      </c>
      <c r="X75" s="109">
        <v>100</v>
      </c>
    </row>
    <row r="76" spans="1:24" x14ac:dyDescent="0.4">
      <c r="A76" s="103">
        <f>IF(B76&lt;&gt;"",COUNTA($B$35:B76),"")</f>
        <v>42</v>
      </c>
      <c r="B76" s="13" t="s">
        <v>128</v>
      </c>
      <c r="C76" s="13" t="s">
        <v>129</v>
      </c>
      <c r="D76" s="33">
        <f t="shared" si="13"/>
        <v>70.666666666666671</v>
      </c>
      <c r="E76" s="103" t="str">
        <f t="shared" si="12"/>
        <v>FAIL</v>
      </c>
      <c r="F76" s="103" t="str">
        <f t="shared" si="11"/>
        <v>FAIL</v>
      </c>
      <c r="G76" s="34" t="str">
        <f t="shared" si="10"/>
        <v>FCD</v>
      </c>
      <c r="H76" s="31">
        <v>42</v>
      </c>
      <c r="I76" s="31">
        <v>10</v>
      </c>
      <c r="J76" s="31">
        <v>39</v>
      </c>
      <c r="K76" s="31">
        <v>20</v>
      </c>
      <c r="L76" s="31">
        <v>29</v>
      </c>
      <c r="M76" s="31">
        <v>7</v>
      </c>
      <c r="N76" s="31">
        <v>46</v>
      </c>
      <c r="O76" s="31">
        <v>38</v>
      </c>
      <c r="P76" s="31">
        <v>44</v>
      </c>
      <c r="Q76" s="31">
        <v>34</v>
      </c>
      <c r="R76" s="31">
        <v>44</v>
      </c>
      <c r="S76" s="31">
        <v>29</v>
      </c>
      <c r="T76" s="31">
        <v>46</v>
      </c>
      <c r="U76" s="31">
        <v>27</v>
      </c>
      <c r="V76" s="31">
        <v>46</v>
      </c>
      <c r="W76" s="31">
        <v>35</v>
      </c>
      <c r="X76" s="109">
        <v>100</v>
      </c>
    </row>
    <row r="77" spans="1:24" x14ac:dyDescent="0.4">
      <c r="A77" s="103">
        <f>IF(B77&lt;&gt;"",COUNTA($B$35:B77),"")</f>
        <v>43</v>
      </c>
      <c r="B77" s="13" t="s">
        <v>130</v>
      </c>
      <c r="C77" s="13" t="s">
        <v>131</v>
      </c>
      <c r="D77" s="33">
        <f t="shared" si="13"/>
        <v>79.222222222222229</v>
      </c>
      <c r="E77" s="103" t="str">
        <f t="shared" si="12"/>
        <v>FAIL</v>
      </c>
      <c r="F77" s="103" t="str">
        <f t="shared" si="11"/>
        <v>FAIL</v>
      </c>
      <c r="G77" s="34" t="str">
        <f t="shared" si="10"/>
        <v>FCD</v>
      </c>
      <c r="H77" s="31">
        <v>44</v>
      </c>
      <c r="I77" s="31">
        <v>11</v>
      </c>
      <c r="J77" s="31">
        <v>44</v>
      </c>
      <c r="K77" s="31">
        <v>25</v>
      </c>
      <c r="L77" s="31">
        <v>42</v>
      </c>
      <c r="M77" s="31">
        <v>24</v>
      </c>
      <c r="N77" s="31">
        <v>46</v>
      </c>
      <c r="O77" s="31">
        <v>42</v>
      </c>
      <c r="P77" s="31">
        <v>44</v>
      </c>
      <c r="Q77" s="31">
        <v>28</v>
      </c>
      <c r="R77" s="31">
        <v>45</v>
      </c>
      <c r="S77" s="31">
        <v>31</v>
      </c>
      <c r="T77" s="31">
        <v>48</v>
      </c>
      <c r="U77" s="31">
        <v>43</v>
      </c>
      <c r="V77" s="31">
        <v>47</v>
      </c>
      <c r="W77" s="31">
        <v>49</v>
      </c>
      <c r="X77" s="109">
        <v>100</v>
      </c>
    </row>
    <row r="78" spans="1:24" x14ac:dyDescent="0.4">
      <c r="A78" s="103">
        <f>IF(B78&lt;&gt;"",COUNTA($B$35:B78),"")</f>
        <v>44</v>
      </c>
      <c r="B78" s="13" t="s">
        <v>132</v>
      </c>
      <c r="C78" s="13" t="s">
        <v>133</v>
      </c>
      <c r="D78" s="33">
        <f t="shared" si="13"/>
        <v>78.333333333333329</v>
      </c>
      <c r="E78" s="103" t="str">
        <f t="shared" si="12"/>
        <v>FAIL</v>
      </c>
      <c r="F78" s="103" t="str">
        <f t="shared" si="11"/>
        <v>FAIL</v>
      </c>
      <c r="G78" s="34" t="str">
        <f t="shared" si="10"/>
        <v>FCD</v>
      </c>
      <c r="H78" s="31">
        <v>40</v>
      </c>
      <c r="I78" s="31">
        <v>10</v>
      </c>
      <c r="J78" s="31">
        <v>42</v>
      </c>
      <c r="K78" s="31">
        <v>25</v>
      </c>
      <c r="L78" s="31">
        <v>37</v>
      </c>
      <c r="M78" s="31">
        <v>19</v>
      </c>
      <c r="N78" s="31">
        <v>47</v>
      </c>
      <c r="O78" s="31">
        <v>40</v>
      </c>
      <c r="P78" s="31">
        <v>44</v>
      </c>
      <c r="Q78" s="31">
        <v>39</v>
      </c>
      <c r="R78" s="31">
        <v>45</v>
      </c>
      <c r="S78" s="31">
        <v>31</v>
      </c>
      <c r="T78" s="31">
        <v>47</v>
      </c>
      <c r="U78" s="31">
        <v>44</v>
      </c>
      <c r="V78" s="31">
        <v>47</v>
      </c>
      <c r="W78" s="31">
        <v>48</v>
      </c>
      <c r="X78" s="109">
        <v>100</v>
      </c>
    </row>
    <row r="79" spans="1:24" x14ac:dyDescent="0.4">
      <c r="A79" s="103">
        <f>IF(B79&lt;&gt;"",COUNTA($B$35:B79),"")</f>
        <v>45</v>
      </c>
      <c r="B79" s="13" t="s">
        <v>134</v>
      </c>
      <c r="C79" s="14" t="s">
        <v>135</v>
      </c>
      <c r="D79" s="33">
        <f t="shared" si="13"/>
        <v>77.444444444444443</v>
      </c>
      <c r="E79" s="103" t="str">
        <f t="shared" si="12"/>
        <v>PASS</v>
      </c>
      <c r="F79" s="103" t="str">
        <f t="shared" si="11"/>
        <v>FCD</v>
      </c>
      <c r="G79" s="34" t="str">
        <f t="shared" si="10"/>
        <v>FCD</v>
      </c>
      <c r="H79" s="35">
        <v>44</v>
      </c>
      <c r="I79" s="35">
        <v>18</v>
      </c>
      <c r="J79" s="35">
        <v>42</v>
      </c>
      <c r="K79" s="35">
        <v>26</v>
      </c>
      <c r="L79" s="35">
        <v>46</v>
      </c>
      <c r="M79" s="35">
        <v>29</v>
      </c>
      <c r="N79" s="35">
        <v>44</v>
      </c>
      <c r="O79" s="35">
        <v>38</v>
      </c>
      <c r="P79" s="35">
        <v>40</v>
      </c>
      <c r="Q79" s="35">
        <v>23</v>
      </c>
      <c r="R79" s="35">
        <v>45</v>
      </c>
      <c r="S79" s="31">
        <v>30</v>
      </c>
      <c r="T79" s="31">
        <v>44</v>
      </c>
      <c r="U79" s="31">
        <v>31</v>
      </c>
      <c r="V79" s="35">
        <v>48</v>
      </c>
      <c r="W79" s="31">
        <v>49</v>
      </c>
      <c r="X79" s="110">
        <v>100</v>
      </c>
    </row>
    <row r="80" spans="1:24" x14ac:dyDescent="0.4">
      <c r="A80" s="103">
        <f>IF(B80&lt;&gt;"",COUNTA($B$35:B80),"")</f>
        <v>46</v>
      </c>
      <c r="B80" s="13" t="s">
        <v>136</v>
      </c>
      <c r="C80" s="13" t="s">
        <v>137</v>
      </c>
      <c r="D80" s="33">
        <f t="shared" si="13"/>
        <v>63.888888888888886</v>
      </c>
      <c r="E80" s="103" t="str">
        <f t="shared" si="12"/>
        <v>FAIL</v>
      </c>
      <c r="F80" s="103" t="str">
        <f t="shared" si="11"/>
        <v>FAIL</v>
      </c>
      <c r="G80" s="34" t="str">
        <f t="shared" si="10"/>
        <v>FC</v>
      </c>
      <c r="H80" s="31">
        <v>35</v>
      </c>
      <c r="I80" s="31">
        <v>4</v>
      </c>
      <c r="J80" s="31">
        <v>41</v>
      </c>
      <c r="K80" s="31">
        <v>14</v>
      </c>
      <c r="L80" s="31">
        <v>29</v>
      </c>
      <c r="M80" s="31">
        <v>9</v>
      </c>
      <c r="N80" s="31">
        <v>46</v>
      </c>
      <c r="O80" s="31">
        <v>33</v>
      </c>
      <c r="P80" s="31">
        <v>39</v>
      </c>
      <c r="Q80" s="31">
        <v>12</v>
      </c>
      <c r="R80" s="31">
        <v>46</v>
      </c>
      <c r="S80" s="31">
        <v>26</v>
      </c>
      <c r="T80" s="31">
        <v>42</v>
      </c>
      <c r="U80" s="31">
        <v>21</v>
      </c>
      <c r="V80" s="31">
        <v>48</v>
      </c>
      <c r="W80" s="31">
        <v>30</v>
      </c>
      <c r="X80" s="109">
        <v>100</v>
      </c>
    </row>
    <row r="81" spans="1:24" x14ac:dyDescent="0.4">
      <c r="A81" s="103">
        <f>IF(B81&lt;&gt;"",COUNTA($B$35:B81),"")</f>
        <v>47</v>
      </c>
      <c r="B81" s="13" t="s">
        <v>138</v>
      </c>
      <c r="C81" s="13" t="s">
        <v>139</v>
      </c>
      <c r="D81" s="33">
        <f t="shared" si="13"/>
        <v>78.111111111111114</v>
      </c>
      <c r="E81" s="103" t="str">
        <f t="shared" si="12"/>
        <v>FAIL</v>
      </c>
      <c r="F81" s="103" t="str">
        <f t="shared" si="11"/>
        <v>FAIL</v>
      </c>
      <c r="G81" s="34" t="str">
        <f t="shared" si="10"/>
        <v>FCD</v>
      </c>
      <c r="H81" s="31">
        <v>44</v>
      </c>
      <c r="I81" s="31">
        <v>12</v>
      </c>
      <c r="J81" s="31">
        <v>46</v>
      </c>
      <c r="K81" s="31">
        <v>18</v>
      </c>
      <c r="L81" s="35">
        <v>42</v>
      </c>
      <c r="M81" s="31">
        <v>26</v>
      </c>
      <c r="N81" s="31">
        <v>48</v>
      </c>
      <c r="O81" s="31">
        <v>40</v>
      </c>
      <c r="P81" s="31">
        <v>42</v>
      </c>
      <c r="Q81" s="31">
        <v>33</v>
      </c>
      <c r="R81" s="31">
        <v>46</v>
      </c>
      <c r="S81" s="31">
        <v>32</v>
      </c>
      <c r="T81" s="31">
        <v>48</v>
      </c>
      <c r="U81" s="31">
        <v>30</v>
      </c>
      <c r="V81" s="31">
        <v>47</v>
      </c>
      <c r="W81" s="31">
        <v>49</v>
      </c>
      <c r="X81" s="109">
        <v>100</v>
      </c>
    </row>
    <row r="82" spans="1:24" x14ac:dyDescent="0.4">
      <c r="A82" s="103">
        <f>IF(B82&lt;&gt;"",COUNTA($B$35:B82),"")</f>
        <v>48</v>
      </c>
      <c r="B82" s="13" t="s">
        <v>140</v>
      </c>
      <c r="C82" s="13" t="s">
        <v>141</v>
      </c>
      <c r="D82" s="33">
        <f t="shared" si="13"/>
        <v>78.666666666666657</v>
      </c>
      <c r="E82" s="103" t="str">
        <f t="shared" si="12"/>
        <v>FAIL</v>
      </c>
      <c r="F82" s="103" t="str">
        <f t="shared" si="11"/>
        <v>FAIL</v>
      </c>
      <c r="G82" s="34" t="str">
        <f t="shared" si="10"/>
        <v>FCD</v>
      </c>
      <c r="H82" s="31">
        <v>43</v>
      </c>
      <c r="I82" s="31">
        <v>6</v>
      </c>
      <c r="J82" s="31">
        <v>42</v>
      </c>
      <c r="K82" s="31">
        <v>25</v>
      </c>
      <c r="L82" s="31">
        <v>43</v>
      </c>
      <c r="M82" s="31">
        <v>21</v>
      </c>
      <c r="N82" s="31">
        <v>46</v>
      </c>
      <c r="O82" s="31">
        <v>40</v>
      </c>
      <c r="P82" s="31">
        <v>44</v>
      </c>
      <c r="Q82" s="31">
        <v>34</v>
      </c>
      <c r="R82" s="31">
        <v>45</v>
      </c>
      <c r="S82" s="31">
        <v>40</v>
      </c>
      <c r="T82" s="31">
        <v>46</v>
      </c>
      <c r="U82" s="31">
        <v>35</v>
      </c>
      <c r="V82" s="31">
        <v>49</v>
      </c>
      <c r="W82" s="31">
        <v>49</v>
      </c>
      <c r="X82" s="109">
        <v>100</v>
      </c>
    </row>
    <row r="83" spans="1:24" x14ac:dyDescent="0.4">
      <c r="A83" s="103">
        <f>IF(B83&lt;&gt;"",COUNTA($B$35:B83),"")</f>
        <v>49</v>
      </c>
      <c r="B83" s="13" t="s">
        <v>142</v>
      </c>
      <c r="C83" s="13" t="s">
        <v>143</v>
      </c>
      <c r="D83" s="33">
        <f t="shared" si="13"/>
        <v>75.333333333333329</v>
      </c>
      <c r="E83" s="103" t="str">
        <f t="shared" si="12"/>
        <v>PASS</v>
      </c>
      <c r="F83" s="103" t="str">
        <f t="shared" si="11"/>
        <v>FCD</v>
      </c>
      <c r="G83" s="34" t="str">
        <f t="shared" si="10"/>
        <v>FCD</v>
      </c>
      <c r="H83" s="31">
        <v>41</v>
      </c>
      <c r="I83" s="31">
        <v>18</v>
      </c>
      <c r="J83" s="31">
        <v>43</v>
      </c>
      <c r="K83" s="31">
        <v>18</v>
      </c>
      <c r="L83" s="31">
        <v>38</v>
      </c>
      <c r="M83" s="31">
        <v>22</v>
      </c>
      <c r="N83" s="31">
        <v>48</v>
      </c>
      <c r="O83" s="31">
        <v>41</v>
      </c>
      <c r="P83" s="31">
        <v>40</v>
      </c>
      <c r="Q83" s="31">
        <v>30</v>
      </c>
      <c r="R83" s="31">
        <v>46</v>
      </c>
      <c r="S83" s="31">
        <v>26</v>
      </c>
      <c r="T83" s="31">
        <v>48</v>
      </c>
      <c r="U83" s="31">
        <v>23</v>
      </c>
      <c r="V83" s="31">
        <v>48</v>
      </c>
      <c r="W83" s="31">
        <v>48</v>
      </c>
      <c r="X83" s="109">
        <v>100</v>
      </c>
    </row>
    <row r="84" spans="1:24" x14ac:dyDescent="0.4">
      <c r="A84" s="103">
        <f>IF(B84&lt;&gt;"",COUNTA($B$35:B84),"")</f>
        <v>50</v>
      </c>
      <c r="B84" s="13" t="s">
        <v>144</v>
      </c>
      <c r="C84" s="13" t="s">
        <v>145</v>
      </c>
      <c r="D84" s="33">
        <f t="shared" si="13"/>
        <v>72.111111111111114</v>
      </c>
      <c r="E84" s="103" t="str">
        <f t="shared" si="12"/>
        <v>FAIL</v>
      </c>
      <c r="F84" s="103" t="str">
        <f t="shared" si="11"/>
        <v>FAIL</v>
      </c>
      <c r="G84" s="34" t="str">
        <f t="shared" si="10"/>
        <v>FCD</v>
      </c>
      <c r="H84" s="31">
        <v>40</v>
      </c>
      <c r="I84" s="31">
        <v>11</v>
      </c>
      <c r="J84" s="31">
        <v>42</v>
      </c>
      <c r="K84" s="31">
        <v>21</v>
      </c>
      <c r="L84" s="31">
        <v>40</v>
      </c>
      <c r="M84" s="31">
        <v>14</v>
      </c>
      <c r="N84" s="31">
        <v>45</v>
      </c>
      <c r="O84" s="31">
        <v>32</v>
      </c>
      <c r="P84" s="31">
        <v>42</v>
      </c>
      <c r="Q84" s="31">
        <v>31</v>
      </c>
      <c r="R84" s="31">
        <v>42</v>
      </c>
      <c r="S84" s="31">
        <v>29</v>
      </c>
      <c r="T84" s="31">
        <v>48</v>
      </c>
      <c r="U84" s="31">
        <v>26</v>
      </c>
      <c r="V84" s="31">
        <v>48</v>
      </c>
      <c r="W84" s="31">
        <v>38</v>
      </c>
      <c r="X84" s="109">
        <v>100</v>
      </c>
    </row>
    <row r="85" spans="1:24" x14ac:dyDescent="0.4">
      <c r="A85" s="103">
        <f>IF(B85&lt;&gt;"",COUNTA($B$35:B85),"")</f>
        <v>51</v>
      </c>
      <c r="B85" s="13" t="s">
        <v>146</v>
      </c>
      <c r="C85" s="13" t="s">
        <v>147</v>
      </c>
      <c r="D85" s="33">
        <f t="shared" si="13"/>
        <v>69.888888888888886</v>
      </c>
      <c r="E85" s="103" t="str">
        <f t="shared" si="12"/>
        <v>PASS</v>
      </c>
      <c r="F85" s="103" t="str">
        <f t="shared" si="11"/>
        <v>FC</v>
      </c>
      <c r="G85" s="34" t="str">
        <f t="shared" si="10"/>
        <v>FC</v>
      </c>
      <c r="H85" s="31">
        <v>36</v>
      </c>
      <c r="I85" s="31">
        <v>18</v>
      </c>
      <c r="J85" s="31">
        <v>37</v>
      </c>
      <c r="K85" s="31">
        <v>24</v>
      </c>
      <c r="L85" s="31">
        <v>39</v>
      </c>
      <c r="M85" s="31">
        <v>18</v>
      </c>
      <c r="N85" s="31">
        <v>38</v>
      </c>
      <c r="O85" s="31">
        <v>44</v>
      </c>
      <c r="P85" s="31">
        <v>25</v>
      </c>
      <c r="Q85" s="31">
        <v>30</v>
      </c>
      <c r="R85" s="31">
        <v>42</v>
      </c>
      <c r="S85" s="31">
        <v>20</v>
      </c>
      <c r="T85" s="31">
        <v>31</v>
      </c>
      <c r="U85" s="31">
        <v>32</v>
      </c>
      <c r="V85" s="31">
        <v>47</v>
      </c>
      <c r="W85" s="31">
        <v>48</v>
      </c>
      <c r="X85" s="109">
        <v>100</v>
      </c>
    </row>
    <row r="86" spans="1:24" x14ac:dyDescent="0.4">
      <c r="A86" s="103">
        <f>IF(B86&lt;&gt;"",COUNTA($B$35:B86),"")</f>
        <v>52</v>
      </c>
      <c r="B86" s="13" t="s">
        <v>148</v>
      </c>
      <c r="C86" s="13" t="s">
        <v>149</v>
      </c>
      <c r="D86" s="33">
        <f t="shared" si="13"/>
        <v>67.333333333333329</v>
      </c>
      <c r="E86" s="103" t="str">
        <f t="shared" si="12"/>
        <v>FAIL</v>
      </c>
      <c r="F86" s="103" t="str">
        <f t="shared" si="11"/>
        <v>FAIL</v>
      </c>
      <c r="G86" s="34" t="str">
        <f t="shared" si="10"/>
        <v>FC</v>
      </c>
      <c r="H86" s="31">
        <v>39</v>
      </c>
      <c r="I86" s="31">
        <v>6</v>
      </c>
      <c r="J86" s="31">
        <v>39</v>
      </c>
      <c r="K86" s="31">
        <v>14</v>
      </c>
      <c r="L86" s="31">
        <v>38</v>
      </c>
      <c r="M86" s="31">
        <v>18</v>
      </c>
      <c r="N86" s="31">
        <v>40</v>
      </c>
      <c r="O86" s="31">
        <v>36</v>
      </c>
      <c r="P86" s="31">
        <v>33</v>
      </c>
      <c r="Q86" s="31">
        <v>18</v>
      </c>
      <c r="R86" s="31">
        <v>42</v>
      </c>
      <c r="S86" s="31">
        <v>20</v>
      </c>
      <c r="T86" s="31">
        <v>45</v>
      </c>
      <c r="U86" s="31">
        <v>27</v>
      </c>
      <c r="V86" s="31">
        <v>48</v>
      </c>
      <c r="W86" s="31">
        <v>43</v>
      </c>
      <c r="X86" s="109">
        <v>100</v>
      </c>
    </row>
    <row r="87" spans="1:24" x14ac:dyDescent="0.4">
      <c r="A87" s="103">
        <f>IF(B87&lt;&gt;"",COUNTA($B$35:B87),"")</f>
        <v>53</v>
      </c>
      <c r="B87" s="13" t="s">
        <v>150</v>
      </c>
      <c r="C87" s="13" t="s">
        <v>151</v>
      </c>
      <c r="D87" s="33">
        <f t="shared" si="13"/>
        <v>81</v>
      </c>
      <c r="E87" s="103" t="str">
        <f t="shared" si="12"/>
        <v>PASS</v>
      </c>
      <c r="F87" s="103" t="str">
        <f t="shared" si="11"/>
        <v>FCD</v>
      </c>
      <c r="G87" s="34" t="str">
        <f t="shared" si="10"/>
        <v>FCD</v>
      </c>
      <c r="H87" s="31">
        <v>46</v>
      </c>
      <c r="I87" s="31">
        <v>24</v>
      </c>
      <c r="J87" s="31">
        <v>43</v>
      </c>
      <c r="K87" s="31">
        <v>29</v>
      </c>
      <c r="L87" s="31">
        <v>45</v>
      </c>
      <c r="M87" s="31">
        <v>28</v>
      </c>
      <c r="N87" s="31">
        <v>48</v>
      </c>
      <c r="O87" s="31">
        <v>43</v>
      </c>
      <c r="P87" s="31">
        <v>45</v>
      </c>
      <c r="Q87" s="31">
        <v>30</v>
      </c>
      <c r="R87" s="31">
        <v>44</v>
      </c>
      <c r="S87" s="31">
        <v>32</v>
      </c>
      <c r="T87" s="31">
        <v>39</v>
      </c>
      <c r="U87" s="31">
        <v>40</v>
      </c>
      <c r="V87" s="31">
        <v>45</v>
      </c>
      <c r="W87" s="31">
        <v>48</v>
      </c>
      <c r="X87" s="109">
        <v>100</v>
      </c>
    </row>
    <row r="88" spans="1:24" x14ac:dyDescent="0.4">
      <c r="A88" s="103">
        <f>IF(B88&lt;&gt;"",COUNTA($B$35:B88),"")</f>
        <v>54</v>
      </c>
      <c r="B88" s="13" t="s">
        <v>152</v>
      </c>
      <c r="C88" s="13" t="s">
        <v>153</v>
      </c>
      <c r="D88" s="33">
        <f t="shared" si="13"/>
        <v>75.333333333333329</v>
      </c>
      <c r="E88" s="103" t="str">
        <f t="shared" si="12"/>
        <v>FAIL</v>
      </c>
      <c r="F88" s="103" t="str">
        <f t="shared" si="11"/>
        <v>FAIL</v>
      </c>
      <c r="G88" s="34" t="str">
        <f t="shared" si="10"/>
        <v>FCD</v>
      </c>
      <c r="H88" s="31">
        <v>39</v>
      </c>
      <c r="I88" s="31">
        <v>9</v>
      </c>
      <c r="J88" s="31">
        <v>42</v>
      </c>
      <c r="K88" s="31">
        <v>26</v>
      </c>
      <c r="L88" s="31">
        <v>41</v>
      </c>
      <c r="M88" s="31">
        <v>18</v>
      </c>
      <c r="N88" s="31">
        <v>46</v>
      </c>
      <c r="O88" s="31">
        <v>41</v>
      </c>
      <c r="P88" s="31">
        <v>43</v>
      </c>
      <c r="Q88" s="31">
        <v>32</v>
      </c>
      <c r="R88" s="31">
        <v>45</v>
      </c>
      <c r="S88" s="31">
        <v>24</v>
      </c>
      <c r="T88" s="31">
        <v>44</v>
      </c>
      <c r="U88" s="31">
        <v>33</v>
      </c>
      <c r="V88" s="31">
        <v>47</v>
      </c>
      <c r="W88" s="31">
        <v>48</v>
      </c>
      <c r="X88" s="109">
        <v>100</v>
      </c>
    </row>
    <row r="89" spans="1:24" x14ac:dyDescent="0.4">
      <c r="A89" s="103">
        <f>IF(B89&lt;&gt;"",COUNTA($B$35:B89),"")</f>
        <v>55</v>
      </c>
      <c r="B89" s="13" t="s">
        <v>154</v>
      </c>
      <c r="C89" s="13" t="s">
        <v>155</v>
      </c>
      <c r="D89" s="33">
        <f t="shared" si="13"/>
        <v>66.888888888888886</v>
      </c>
      <c r="E89" s="103" t="str">
        <f t="shared" si="12"/>
        <v>FAIL</v>
      </c>
      <c r="F89" s="103" t="str">
        <f t="shared" si="11"/>
        <v>FAIL</v>
      </c>
      <c r="G89" s="34" t="str">
        <f t="shared" si="10"/>
        <v>FC</v>
      </c>
      <c r="H89" s="31">
        <v>40</v>
      </c>
      <c r="I89" s="31">
        <v>6</v>
      </c>
      <c r="J89" s="31">
        <v>40</v>
      </c>
      <c r="K89" s="31">
        <v>10</v>
      </c>
      <c r="L89" s="31">
        <v>29</v>
      </c>
      <c r="M89" s="31">
        <v>18</v>
      </c>
      <c r="N89" s="31">
        <v>38</v>
      </c>
      <c r="O89" s="31">
        <v>34</v>
      </c>
      <c r="P89" s="31">
        <v>37</v>
      </c>
      <c r="Q89" s="31">
        <v>27</v>
      </c>
      <c r="R89" s="31">
        <v>46</v>
      </c>
      <c r="S89" s="31">
        <v>26</v>
      </c>
      <c r="T89" s="31">
        <v>34</v>
      </c>
      <c r="U89" s="31">
        <v>35</v>
      </c>
      <c r="V89" s="31">
        <v>47</v>
      </c>
      <c r="W89" s="31">
        <v>35</v>
      </c>
      <c r="X89" s="109">
        <v>100</v>
      </c>
    </row>
    <row r="90" spans="1:24" x14ac:dyDescent="0.4">
      <c r="A90" s="103">
        <f>IF(B90&lt;&gt;"",COUNTA($B$35:B90),"")</f>
        <v>56</v>
      </c>
      <c r="B90" s="13" t="s">
        <v>156</v>
      </c>
      <c r="C90" s="13" t="s">
        <v>157</v>
      </c>
      <c r="D90" s="33">
        <f t="shared" si="13"/>
        <v>58.111111111111114</v>
      </c>
      <c r="E90" s="103" t="str">
        <f t="shared" si="12"/>
        <v>FAIL</v>
      </c>
      <c r="F90" s="103" t="str">
        <f t="shared" si="11"/>
        <v>FAIL</v>
      </c>
      <c r="G90" s="34" t="str">
        <f t="shared" si="10"/>
        <v>SC</v>
      </c>
      <c r="H90" s="31">
        <v>29</v>
      </c>
      <c r="I90" s="31">
        <v>10</v>
      </c>
      <c r="J90" s="31">
        <v>36</v>
      </c>
      <c r="K90" s="31">
        <v>7</v>
      </c>
      <c r="L90" s="31">
        <v>28</v>
      </c>
      <c r="M90" s="31">
        <v>2</v>
      </c>
      <c r="N90" s="31">
        <v>35</v>
      </c>
      <c r="O90" s="31">
        <v>25</v>
      </c>
      <c r="P90" s="31">
        <v>37</v>
      </c>
      <c r="Q90" s="31">
        <v>29</v>
      </c>
      <c r="R90" s="31">
        <v>45</v>
      </c>
      <c r="S90" s="31">
        <v>20</v>
      </c>
      <c r="T90" s="31">
        <v>35</v>
      </c>
      <c r="U90" s="31">
        <v>20</v>
      </c>
      <c r="V90" s="31">
        <v>45</v>
      </c>
      <c r="W90" s="31">
        <v>20</v>
      </c>
      <c r="X90" s="109">
        <v>100</v>
      </c>
    </row>
    <row r="91" spans="1:24" x14ac:dyDescent="0.4">
      <c r="A91" s="103">
        <f>IF(B91&lt;&gt;"",COUNTA($B$35:B91),"")</f>
        <v>57</v>
      </c>
      <c r="B91" s="13" t="s">
        <v>158</v>
      </c>
      <c r="C91" s="13" t="s">
        <v>159</v>
      </c>
      <c r="D91" s="33">
        <f t="shared" si="13"/>
        <v>78.111111111111114</v>
      </c>
      <c r="E91" s="103" t="str">
        <f t="shared" si="12"/>
        <v>FAIL</v>
      </c>
      <c r="F91" s="103" t="str">
        <f t="shared" si="11"/>
        <v>FAIL</v>
      </c>
      <c r="G91" s="34" t="str">
        <f t="shared" si="10"/>
        <v>FCD</v>
      </c>
      <c r="H91" s="31">
        <v>43</v>
      </c>
      <c r="I91" s="31">
        <v>10</v>
      </c>
      <c r="J91" s="31">
        <v>39</v>
      </c>
      <c r="K91" s="31">
        <v>30</v>
      </c>
      <c r="L91" s="31">
        <v>38</v>
      </c>
      <c r="M91" s="31">
        <v>29</v>
      </c>
      <c r="N91" s="31">
        <v>45</v>
      </c>
      <c r="O91" s="31">
        <v>40</v>
      </c>
      <c r="P91" s="31">
        <v>39</v>
      </c>
      <c r="Q91" s="31">
        <v>35</v>
      </c>
      <c r="R91" s="31">
        <v>44</v>
      </c>
      <c r="S91" s="31">
        <v>29</v>
      </c>
      <c r="T91" s="31">
        <v>43</v>
      </c>
      <c r="U91" s="31">
        <v>44</v>
      </c>
      <c r="V91" s="31">
        <v>47</v>
      </c>
      <c r="W91" s="31">
        <v>48</v>
      </c>
      <c r="X91" s="109">
        <v>100</v>
      </c>
    </row>
    <row r="92" spans="1:24" x14ac:dyDescent="0.4">
      <c r="A92" s="57">
        <f>IF(B92&lt;&gt;"",COUNTA($B$35:B92),"")</f>
        <v>58</v>
      </c>
      <c r="B92" s="58" t="s">
        <v>160</v>
      </c>
      <c r="C92" s="58" t="s">
        <v>161</v>
      </c>
      <c r="D92" s="59">
        <f t="shared" si="13"/>
        <v>58.222222222222221</v>
      </c>
      <c r="E92" s="57" t="str">
        <f t="shared" si="12"/>
        <v>FAIL</v>
      </c>
      <c r="F92" s="57" t="str">
        <f t="shared" si="11"/>
        <v>FAIL</v>
      </c>
      <c r="G92" s="60" t="str">
        <f t="shared" si="10"/>
        <v>SC</v>
      </c>
      <c r="H92" s="61">
        <v>33</v>
      </c>
      <c r="I92" s="61">
        <v>8</v>
      </c>
      <c r="J92" s="61">
        <v>25</v>
      </c>
      <c r="K92" s="61">
        <v>21</v>
      </c>
      <c r="L92" s="61">
        <v>26</v>
      </c>
      <c r="M92" s="61">
        <v>22</v>
      </c>
      <c r="N92" s="61">
        <v>30</v>
      </c>
      <c r="O92" s="61">
        <v>43</v>
      </c>
      <c r="P92" s="61">
        <v>25</v>
      </c>
      <c r="Q92" s="61">
        <v>13</v>
      </c>
      <c r="R92" s="61">
        <v>46</v>
      </c>
      <c r="S92" s="61">
        <v>24</v>
      </c>
      <c r="T92" s="61">
        <v>22</v>
      </c>
      <c r="U92" s="61">
        <v>19</v>
      </c>
      <c r="V92" s="61">
        <v>47</v>
      </c>
      <c r="W92" s="61">
        <v>20</v>
      </c>
      <c r="X92" s="111">
        <v>100</v>
      </c>
    </row>
    <row r="93" spans="1:24" x14ac:dyDescent="0.4">
      <c r="A93" s="103">
        <f>IF(B93&lt;&gt;"",COUNTA($B$35:B93),"")</f>
        <v>59</v>
      </c>
      <c r="B93" s="13" t="s">
        <v>162</v>
      </c>
      <c r="C93" s="13" t="s">
        <v>163</v>
      </c>
      <c r="D93" s="33">
        <f t="shared" si="13"/>
        <v>51.44444444444445</v>
      </c>
      <c r="E93" s="103" t="str">
        <f t="shared" si="12"/>
        <v>FAIL</v>
      </c>
      <c r="F93" s="103" t="str">
        <f t="shared" si="11"/>
        <v>FAIL</v>
      </c>
      <c r="G93" s="34" t="str">
        <f t="shared" si="10"/>
        <v>SC</v>
      </c>
      <c r="H93" s="31">
        <v>36</v>
      </c>
      <c r="I93" s="31">
        <v>2</v>
      </c>
      <c r="J93" s="31">
        <v>28</v>
      </c>
      <c r="K93" s="31">
        <v>8</v>
      </c>
      <c r="L93" s="31">
        <v>22</v>
      </c>
      <c r="M93" s="31">
        <v>5</v>
      </c>
      <c r="N93" s="31">
        <v>25</v>
      </c>
      <c r="O93" s="31">
        <v>25</v>
      </c>
      <c r="P93" s="31">
        <v>31</v>
      </c>
      <c r="Q93" s="31">
        <v>8</v>
      </c>
      <c r="R93" s="31">
        <v>35</v>
      </c>
      <c r="S93" s="31">
        <v>23</v>
      </c>
      <c r="T93" s="31">
        <v>22</v>
      </c>
      <c r="U93" s="31">
        <v>24</v>
      </c>
      <c r="V93" s="31">
        <v>46</v>
      </c>
      <c r="W93" s="31">
        <v>23</v>
      </c>
      <c r="X93" s="109">
        <v>100</v>
      </c>
    </row>
    <row r="94" spans="1:24" x14ac:dyDescent="0.4">
      <c r="A94" s="103">
        <f>IF(B94&lt;&gt;"",COUNTA($B$35:B94),"")</f>
        <v>60</v>
      </c>
      <c r="B94" s="13" t="s">
        <v>164</v>
      </c>
      <c r="C94" s="13" t="s">
        <v>165</v>
      </c>
      <c r="D94" s="33">
        <f t="shared" si="13"/>
        <v>75.666666666666671</v>
      </c>
      <c r="E94" s="103" t="str">
        <f t="shared" si="12"/>
        <v>PASS</v>
      </c>
      <c r="F94" s="103" t="str">
        <f t="shared" si="11"/>
        <v>FCD</v>
      </c>
      <c r="G94" s="34" t="str">
        <f t="shared" si="10"/>
        <v>FCD</v>
      </c>
      <c r="H94" s="31">
        <v>36</v>
      </c>
      <c r="I94" s="31">
        <v>18</v>
      </c>
      <c r="J94" s="31">
        <v>43</v>
      </c>
      <c r="K94" s="31">
        <v>27</v>
      </c>
      <c r="L94" s="31">
        <v>35</v>
      </c>
      <c r="M94" s="31">
        <v>18</v>
      </c>
      <c r="N94" s="31">
        <v>48</v>
      </c>
      <c r="O94" s="31">
        <v>42</v>
      </c>
      <c r="P94" s="31">
        <v>43</v>
      </c>
      <c r="Q94" s="31">
        <v>37</v>
      </c>
      <c r="R94" s="31">
        <v>44</v>
      </c>
      <c r="S94" s="31">
        <v>28</v>
      </c>
      <c r="T94" s="31">
        <v>44</v>
      </c>
      <c r="U94" s="31">
        <v>28</v>
      </c>
      <c r="V94" s="31">
        <v>47</v>
      </c>
      <c r="W94" s="31">
        <v>43</v>
      </c>
      <c r="X94" s="109">
        <v>100</v>
      </c>
    </row>
    <row r="95" spans="1:24" x14ac:dyDescent="0.4">
      <c r="A95" s="103">
        <f>IF(B95&lt;&gt;"",COUNTA($B$35:B95),"")</f>
        <v>61</v>
      </c>
      <c r="B95" s="13" t="s">
        <v>166</v>
      </c>
      <c r="C95" s="13" t="s">
        <v>167</v>
      </c>
      <c r="D95" s="33">
        <f t="shared" si="13"/>
        <v>78.333333333333329</v>
      </c>
      <c r="E95" s="103" t="str">
        <f t="shared" si="12"/>
        <v>PASS</v>
      </c>
      <c r="F95" s="103" t="str">
        <f t="shared" si="11"/>
        <v>FCD</v>
      </c>
      <c r="G95" s="34" t="str">
        <f t="shared" si="10"/>
        <v>FCD</v>
      </c>
      <c r="H95" s="31">
        <v>44</v>
      </c>
      <c r="I95" s="31">
        <v>18</v>
      </c>
      <c r="J95" s="31">
        <v>46</v>
      </c>
      <c r="K95" s="31">
        <v>24</v>
      </c>
      <c r="L95" s="31">
        <v>44</v>
      </c>
      <c r="M95" s="31">
        <v>34</v>
      </c>
      <c r="N95" s="31">
        <v>49</v>
      </c>
      <c r="O95" s="31">
        <v>45</v>
      </c>
      <c r="P95" s="31">
        <v>42</v>
      </c>
      <c r="Q95" s="31">
        <v>23</v>
      </c>
      <c r="R95" s="31">
        <v>43</v>
      </c>
      <c r="S95" s="31">
        <v>22</v>
      </c>
      <c r="T95" s="31">
        <v>38</v>
      </c>
      <c r="U95" s="31">
        <v>37</v>
      </c>
      <c r="V95" s="31">
        <v>47</v>
      </c>
      <c r="W95" s="31">
        <v>49</v>
      </c>
      <c r="X95" s="109">
        <v>100</v>
      </c>
    </row>
    <row r="96" spans="1:24" x14ac:dyDescent="0.4">
      <c r="A96" s="103">
        <f>IF(B96&lt;&gt;"",COUNTA($B$35:B96),"")</f>
        <v>62</v>
      </c>
      <c r="B96" s="13" t="s">
        <v>168</v>
      </c>
      <c r="C96" s="13" t="s">
        <v>169</v>
      </c>
      <c r="D96" s="33">
        <f t="shared" si="13"/>
        <v>76.111111111111114</v>
      </c>
      <c r="E96" s="103" t="str">
        <f t="shared" si="12"/>
        <v>FAIL</v>
      </c>
      <c r="F96" s="103" t="str">
        <f t="shared" si="11"/>
        <v>FAIL</v>
      </c>
      <c r="G96" s="34" t="str">
        <f t="shared" si="10"/>
        <v>FCD</v>
      </c>
      <c r="H96" s="31">
        <v>41</v>
      </c>
      <c r="I96" s="31">
        <v>11</v>
      </c>
      <c r="J96" s="31">
        <v>44</v>
      </c>
      <c r="K96" s="31">
        <v>29</v>
      </c>
      <c r="L96" s="31">
        <v>43</v>
      </c>
      <c r="M96" s="31">
        <v>22</v>
      </c>
      <c r="N96" s="31">
        <v>49</v>
      </c>
      <c r="O96" s="31">
        <v>43</v>
      </c>
      <c r="P96" s="31">
        <v>41</v>
      </c>
      <c r="Q96" s="31">
        <v>33</v>
      </c>
      <c r="R96" s="31">
        <v>43</v>
      </c>
      <c r="S96" s="31">
        <v>24</v>
      </c>
      <c r="T96" s="31">
        <v>43</v>
      </c>
      <c r="U96" s="31">
        <v>23</v>
      </c>
      <c r="V96" s="31">
        <v>47</v>
      </c>
      <c r="W96" s="31">
        <v>49</v>
      </c>
      <c r="X96" s="109">
        <v>100</v>
      </c>
    </row>
    <row r="97" spans="1:24" s="64" customFormat="1" x14ac:dyDescent="0.4">
      <c r="A97" s="68">
        <f>IF(B97&lt;&gt;"",COUNTA($B$35:B97),"")</f>
        <v>63</v>
      </c>
      <c r="B97" s="30" t="s">
        <v>170</v>
      </c>
      <c r="C97" s="30" t="s">
        <v>171</v>
      </c>
      <c r="D97" s="62">
        <f t="shared" ref="D97:D160" si="14">IF(C97="","",(SUM(H97:W97)/D$31)*100)</f>
        <v>56.000000000000007</v>
      </c>
      <c r="E97" s="68" t="str">
        <f t="shared" si="12"/>
        <v>FAIL</v>
      </c>
      <c r="F97" s="68" t="str">
        <f t="shared" si="11"/>
        <v>FAIL</v>
      </c>
      <c r="G97" s="63" t="str">
        <f t="shared" si="10"/>
        <v>SC</v>
      </c>
      <c r="H97" s="24">
        <v>34</v>
      </c>
      <c r="I97" s="24">
        <v>6</v>
      </c>
      <c r="J97" s="24">
        <v>40</v>
      </c>
      <c r="K97" s="24">
        <v>18</v>
      </c>
      <c r="L97" s="24">
        <v>34</v>
      </c>
      <c r="M97" s="24">
        <v>13</v>
      </c>
      <c r="N97" s="24">
        <v>47</v>
      </c>
      <c r="O97" s="24">
        <v>43</v>
      </c>
      <c r="P97" s="24">
        <v>41</v>
      </c>
      <c r="Q97" s="24">
        <v>13</v>
      </c>
      <c r="R97" s="24">
        <v>45</v>
      </c>
      <c r="S97" s="24">
        <v>18</v>
      </c>
      <c r="T97" s="24">
        <v>38</v>
      </c>
      <c r="U97" s="24">
        <v>19</v>
      </c>
      <c r="V97" s="24">
        <v>47</v>
      </c>
      <c r="W97" s="24">
        <v>48</v>
      </c>
      <c r="X97" s="24">
        <v>100</v>
      </c>
    </row>
    <row r="98" spans="1:24" s="64" customFormat="1" x14ac:dyDescent="0.4">
      <c r="A98" s="68" t="str">
        <f>IF(B98&lt;&gt;"",COUNTA($B$35:B98),"")</f>
        <v/>
      </c>
      <c r="B98" s="30"/>
      <c r="C98" s="30"/>
      <c r="D98" s="62" t="str">
        <f t="shared" si="14"/>
        <v/>
      </c>
      <c r="E98" s="68" t="str">
        <f t="shared" si="12"/>
        <v/>
      </c>
      <c r="F98" s="68" t="str">
        <f t="shared" si="11"/>
        <v/>
      </c>
      <c r="G98" s="63" t="str">
        <f t="shared" ref="G98:G161" si="15">IF(D98 = "", "", IF(D98 &gt;= 70, "FCD", IF(D98 &gt;= 60, "FC", IF(D98 &gt;= 35, "SC", ""))))</f>
        <v/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spans="1:24" s="64" customFormat="1" x14ac:dyDescent="0.4">
      <c r="A99" s="68" t="str">
        <f>IF(B99&lt;&gt;"",COUNTA($B$35:B99),"")</f>
        <v/>
      </c>
      <c r="B99" s="30"/>
      <c r="C99" s="30"/>
      <c r="D99" s="62" t="str">
        <f t="shared" si="14"/>
        <v/>
      </c>
      <c r="E99" s="68" t="str">
        <f t="shared" si="12"/>
        <v/>
      </c>
      <c r="F99" s="68" t="str">
        <f t="shared" si="11"/>
        <v/>
      </c>
      <c r="G99" s="63" t="str">
        <f t="shared" si="15"/>
        <v/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spans="1:24" s="64" customFormat="1" x14ac:dyDescent="0.4">
      <c r="A100" s="68" t="str">
        <f>IF(B100&lt;&gt;"",COUNTA($B$35:B100),"")</f>
        <v/>
      </c>
      <c r="B100" s="30"/>
      <c r="C100" s="30"/>
      <c r="D100" s="62" t="str">
        <f t="shared" si="14"/>
        <v/>
      </c>
      <c r="E100" s="68" t="str">
        <f t="shared" si="12"/>
        <v/>
      </c>
      <c r="F100" s="68" t="str">
        <f t="shared" ref="F100:F163" si="16">IF(E100="Pass",G100, IF(E100="FAIL","FAIL",""))</f>
        <v/>
      </c>
      <c r="G100" s="63" t="str">
        <f t="shared" si="15"/>
        <v/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spans="1:24" s="64" customFormat="1" x14ac:dyDescent="0.4">
      <c r="A101" s="68" t="str">
        <f>IF(B101&lt;&gt;"",COUNTA($B$35:B101),"")</f>
        <v/>
      </c>
      <c r="B101" s="30"/>
      <c r="C101" s="30"/>
      <c r="D101" s="62" t="str">
        <f t="shared" si="14"/>
        <v/>
      </c>
      <c r="E101" s="68" t="str">
        <f t="shared" si="12"/>
        <v/>
      </c>
      <c r="F101" s="68" t="str">
        <f t="shared" si="16"/>
        <v/>
      </c>
      <c r="G101" s="63" t="str">
        <f t="shared" si="15"/>
        <v/>
      </c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spans="1:24" s="64" customFormat="1" x14ac:dyDescent="0.4">
      <c r="A102" s="68" t="str">
        <f>IF(B102&lt;&gt;"",COUNTA($B$35:B102),"")</f>
        <v/>
      </c>
      <c r="B102" s="30"/>
      <c r="C102" s="30"/>
      <c r="D102" s="62" t="str">
        <f t="shared" si="14"/>
        <v/>
      </c>
      <c r="E102" s="68" t="str">
        <f t="shared" si="12"/>
        <v/>
      </c>
      <c r="F102" s="68" t="str">
        <f t="shared" si="16"/>
        <v/>
      </c>
      <c r="G102" s="63" t="str">
        <f t="shared" si="15"/>
        <v/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spans="1:24" s="64" customFormat="1" x14ac:dyDescent="0.4">
      <c r="A103" s="68" t="str">
        <f>IF(B103&lt;&gt;"",COUNTA($B$35:B103),"")</f>
        <v/>
      </c>
      <c r="B103" s="30"/>
      <c r="C103" s="30"/>
      <c r="D103" s="62" t="str">
        <f t="shared" si="14"/>
        <v/>
      </c>
      <c r="E103" s="68" t="str">
        <f t="shared" si="12"/>
        <v/>
      </c>
      <c r="F103" s="68" t="str">
        <f t="shared" si="16"/>
        <v/>
      </c>
      <c r="G103" s="63" t="str">
        <f t="shared" si="15"/>
        <v/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spans="1:24" s="64" customFormat="1" x14ac:dyDescent="0.4">
      <c r="A104" s="68" t="str">
        <f>IF(B104&lt;&gt;"",COUNTA($B$35:B104),"")</f>
        <v/>
      </c>
      <c r="B104" s="30"/>
      <c r="C104" s="30"/>
      <c r="D104" s="62" t="str">
        <f t="shared" si="14"/>
        <v/>
      </c>
      <c r="E104" s="68" t="str">
        <f t="shared" ref="E104:E167" si="17">IF(ISBLANK(B104),"",IF(OR(I104&lt;18,K104&lt;18,M104&lt;18,O104&lt;18,Q104&lt;18,S104&lt;18,U104&lt;18,W104&lt;18),"FAIL","PASS"))</f>
        <v/>
      </c>
      <c r="F104" s="68" t="str">
        <f t="shared" si="16"/>
        <v/>
      </c>
      <c r="G104" s="63" t="str">
        <f t="shared" si="15"/>
        <v/>
      </c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spans="1:24" s="64" customFormat="1" x14ac:dyDescent="0.4">
      <c r="A105" s="68" t="str">
        <f>IF(B105&lt;&gt;"",COUNTA($B$35:B105),"")</f>
        <v/>
      </c>
      <c r="B105" s="30"/>
      <c r="C105" s="30"/>
      <c r="D105" s="62" t="str">
        <f t="shared" si="14"/>
        <v/>
      </c>
      <c r="E105" s="68" t="str">
        <f t="shared" si="17"/>
        <v/>
      </c>
      <c r="F105" s="68" t="str">
        <f t="shared" si="16"/>
        <v/>
      </c>
      <c r="G105" s="63" t="str">
        <f t="shared" si="15"/>
        <v/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spans="1:24" s="64" customFormat="1" x14ac:dyDescent="0.4">
      <c r="A106" s="68" t="str">
        <f>IF(B106&lt;&gt;"",COUNTA($B$35:B106),"")</f>
        <v/>
      </c>
      <c r="B106" s="30"/>
      <c r="C106" s="30"/>
      <c r="D106" s="62" t="str">
        <f t="shared" si="14"/>
        <v/>
      </c>
      <c r="E106" s="68" t="str">
        <f t="shared" si="17"/>
        <v/>
      </c>
      <c r="F106" s="68" t="str">
        <f t="shared" si="16"/>
        <v/>
      </c>
      <c r="G106" s="63" t="str">
        <f t="shared" si="15"/>
        <v/>
      </c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spans="1:24" s="64" customFormat="1" x14ac:dyDescent="0.4">
      <c r="A107" s="68" t="str">
        <f>IF(B107&lt;&gt;"",COUNTA($B$35:B107),"")</f>
        <v/>
      </c>
      <c r="B107" s="30"/>
      <c r="C107" s="30"/>
      <c r="D107" s="62" t="str">
        <f t="shared" si="14"/>
        <v/>
      </c>
      <c r="E107" s="68" t="str">
        <f t="shared" si="17"/>
        <v/>
      </c>
      <c r="F107" s="68" t="str">
        <f t="shared" si="16"/>
        <v/>
      </c>
      <c r="G107" s="63" t="str">
        <f t="shared" si="15"/>
        <v/>
      </c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spans="1:24" s="64" customFormat="1" x14ac:dyDescent="0.4">
      <c r="A108" s="68" t="str">
        <f>IF(B108&lt;&gt;"",COUNTA($B$35:B108),"")</f>
        <v/>
      </c>
      <c r="B108" s="30"/>
      <c r="C108" s="30"/>
      <c r="D108" s="62" t="str">
        <f t="shared" si="14"/>
        <v/>
      </c>
      <c r="E108" s="68" t="str">
        <f t="shared" si="17"/>
        <v/>
      </c>
      <c r="F108" s="68" t="str">
        <f t="shared" si="16"/>
        <v/>
      </c>
      <c r="G108" s="63" t="str">
        <f t="shared" si="15"/>
        <v/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spans="1:24" s="64" customFormat="1" x14ac:dyDescent="0.4">
      <c r="A109" s="68" t="str">
        <f>IF(B109&lt;&gt;"",COUNTA($B$35:B109),"")</f>
        <v/>
      </c>
      <c r="B109" s="30"/>
      <c r="C109" s="30"/>
      <c r="D109" s="62" t="str">
        <f t="shared" si="14"/>
        <v/>
      </c>
      <c r="E109" s="68" t="str">
        <f t="shared" si="17"/>
        <v/>
      </c>
      <c r="F109" s="68" t="str">
        <f t="shared" si="16"/>
        <v/>
      </c>
      <c r="G109" s="63" t="str">
        <f t="shared" si="15"/>
        <v/>
      </c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spans="1:24" s="64" customFormat="1" x14ac:dyDescent="0.4">
      <c r="A110" s="68" t="str">
        <f>IF(B110&lt;&gt;"",COUNTA($B$35:B110),"")</f>
        <v/>
      </c>
      <c r="B110" s="30"/>
      <c r="C110" s="30"/>
      <c r="D110" s="62" t="str">
        <f t="shared" si="14"/>
        <v/>
      </c>
      <c r="E110" s="68" t="str">
        <f t="shared" si="17"/>
        <v/>
      </c>
      <c r="F110" s="68" t="str">
        <f t="shared" si="16"/>
        <v/>
      </c>
      <c r="G110" s="63" t="str">
        <f t="shared" si="15"/>
        <v/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spans="1:24" s="64" customFormat="1" x14ac:dyDescent="0.4">
      <c r="A111" s="68" t="str">
        <f>IF(B111&lt;&gt;"",COUNTA($B$35:B111),"")</f>
        <v/>
      </c>
      <c r="B111" s="30"/>
      <c r="C111" s="30"/>
      <c r="D111" s="62" t="str">
        <f t="shared" si="14"/>
        <v/>
      </c>
      <c r="E111" s="68" t="str">
        <f t="shared" si="17"/>
        <v/>
      </c>
      <c r="F111" s="68" t="str">
        <f t="shared" si="16"/>
        <v/>
      </c>
      <c r="G111" s="63" t="str">
        <f t="shared" si="15"/>
        <v/>
      </c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spans="1:24" s="64" customFormat="1" x14ac:dyDescent="0.4">
      <c r="A112" s="68" t="str">
        <f>IF(B112&lt;&gt;"",COUNTA($B$35:B112),"")</f>
        <v/>
      </c>
      <c r="B112" s="30"/>
      <c r="C112" s="30"/>
      <c r="D112" s="62" t="str">
        <f t="shared" si="14"/>
        <v/>
      </c>
      <c r="E112" s="68" t="str">
        <f t="shared" si="17"/>
        <v/>
      </c>
      <c r="F112" s="68" t="str">
        <f t="shared" si="16"/>
        <v/>
      </c>
      <c r="G112" s="63" t="str">
        <f t="shared" si="15"/>
        <v/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spans="1:24" s="64" customFormat="1" x14ac:dyDescent="0.4">
      <c r="A113" s="68" t="str">
        <f>IF(B113&lt;&gt;"",COUNTA($B$35:B113),"")</f>
        <v/>
      </c>
      <c r="B113" s="30"/>
      <c r="C113" s="30"/>
      <c r="D113" s="62" t="str">
        <f t="shared" si="14"/>
        <v/>
      </c>
      <c r="E113" s="68" t="str">
        <f t="shared" si="17"/>
        <v/>
      </c>
      <c r="F113" s="68" t="str">
        <f t="shared" si="16"/>
        <v/>
      </c>
      <c r="G113" s="63" t="str">
        <f t="shared" si="15"/>
        <v/>
      </c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spans="1:24" s="64" customFormat="1" x14ac:dyDescent="0.4">
      <c r="A114" s="68" t="str">
        <f>IF(B114&lt;&gt;"",COUNTA($B$35:B114),"")</f>
        <v/>
      </c>
      <c r="B114" s="30"/>
      <c r="C114" s="30"/>
      <c r="D114" s="62" t="str">
        <f t="shared" si="14"/>
        <v/>
      </c>
      <c r="E114" s="68" t="str">
        <f t="shared" si="17"/>
        <v/>
      </c>
      <c r="F114" s="68" t="str">
        <f t="shared" si="16"/>
        <v/>
      </c>
      <c r="G114" s="63" t="str">
        <f t="shared" si="15"/>
        <v/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spans="1:24" s="64" customFormat="1" x14ac:dyDescent="0.4">
      <c r="A115" s="68" t="str">
        <f>IF(B115&lt;&gt;"",COUNTA($B$35:B115),"")</f>
        <v/>
      </c>
      <c r="B115" s="30"/>
      <c r="C115" s="30"/>
      <c r="D115" s="62" t="str">
        <f t="shared" si="14"/>
        <v/>
      </c>
      <c r="E115" s="68" t="str">
        <f t="shared" si="17"/>
        <v/>
      </c>
      <c r="F115" s="68" t="str">
        <f t="shared" si="16"/>
        <v/>
      </c>
      <c r="G115" s="63" t="str">
        <f t="shared" si="15"/>
        <v/>
      </c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spans="1:24" s="64" customFormat="1" x14ac:dyDescent="0.4">
      <c r="A116" s="68" t="str">
        <f>IF(B116&lt;&gt;"",COUNTA($B$35:B116),"")</f>
        <v/>
      </c>
      <c r="B116" s="30"/>
      <c r="C116" s="30"/>
      <c r="D116" s="62" t="str">
        <f t="shared" si="14"/>
        <v/>
      </c>
      <c r="E116" s="68" t="str">
        <f t="shared" si="17"/>
        <v/>
      </c>
      <c r="F116" s="68" t="str">
        <f t="shared" si="16"/>
        <v/>
      </c>
      <c r="G116" s="63" t="str">
        <f t="shared" si="15"/>
        <v/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spans="1:24" s="64" customFormat="1" x14ac:dyDescent="0.4">
      <c r="A117" s="68" t="str">
        <f>IF(B117&lt;&gt;"",COUNTA($B$35:B117),"")</f>
        <v/>
      </c>
      <c r="B117" s="30"/>
      <c r="C117" s="30"/>
      <c r="D117" s="62" t="str">
        <f t="shared" si="14"/>
        <v/>
      </c>
      <c r="E117" s="68" t="str">
        <f t="shared" si="17"/>
        <v/>
      </c>
      <c r="F117" s="68" t="str">
        <f t="shared" si="16"/>
        <v/>
      </c>
      <c r="G117" s="63" t="str">
        <f t="shared" si="15"/>
        <v/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spans="1:24" s="64" customFormat="1" x14ac:dyDescent="0.4">
      <c r="A118" s="68" t="str">
        <f>IF(B118&lt;&gt;"",COUNTA($B$35:B118),"")</f>
        <v/>
      </c>
      <c r="B118" s="30"/>
      <c r="C118" s="30"/>
      <c r="D118" s="62" t="str">
        <f t="shared" si="14"/>
        <v/>
      </c>
      <c r="E118" s="68" t="str">
        <f t="shared" si="17"/>
        <v/>
      </c>
      <c r="F118" s="68" t="str">
        <f t="shared" si="16"/>
        <v/>
      </c>
      <c r="G118" s="63" t="str">
        <f t="shared" si="15"/>
        <v/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spans="1:24" s="64" customFormat="1" x14ac:dyDescent="0.4">
      <c r="A119" s="68" t="str">
        <f>IF(B119&lt;&gt;"",COUNTA($B$35:B119),"")</f>
        <v/>
      </c>
      <c r="B119" s="30"/>
      <c r="C119" s="30"/>
      <c r="D119" s="62" t="str">
        <f t="shared" si="14"/>
        <v/>
      </c>
      <c r="E119" s="68" t="str">
        <f t="shared" si="17"/>
        <v/>
      </c>
      <c r="F119" s="68" t="str">
        <f t="shared" si="16"/>
        <v/>
      </c>
      <c r="G119" s="63" t="str">
        <f t="shared" si="15"/>
        <v/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spans="1:24" s="64" customFormat="1" x14ac:dyDescent="0.4">
      <c r="A120" s="68" t="str">
        <f>IF(B120&lt;&gt;"",COUNTA($B$35:B120),"")</f>
        <v/>
      </c>
      <c r="B120" s="30"/>
      <c r="C120" s="30"/>
      <c r="D120" s="62" t="str">
        <f t="shared" si="14"/>
        <v/>
      </c>
      <c r="E120" s="68" t="str">
        <f t="shared" si="17"/>
        <v/>
      </c>
      <c r="F120" s="68" t="str">
        <f t="shared" si="16"/>
        <v/>
      </c>
      <c r="G120" s="63" t="str">
        <f t="shared" si="15"/>
        <v/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spans="1:24" s="64" customFormat="1" x14ac:dyDescent="0.4">
      <c r="A121" s="68" t="str">
        <f>IF(B121&lt;&gt;"",COUNTA($B$35:B121),"")</f>
        <v/>
      </c>
      <c r="B121" s="30"/>
      <c r="C121" s="30"/>
      <c r="D121" s="62" t="str">
        <f t="shared" si="14"/>
        <v/>
      </c>
      <c r="E121" s="68" t="str">
        <f t="shared" si="17"/>
        <v/>
      </c>
      <c r="F121" s="68" t="str">
        <f t="shared" si="16"/>
        <v/>
      </c>
      <c r="G121" s="63" t="str">
        <f t="shared" si="15"/>
        <v/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spans="1:24" s="64" customFormat="1" x14ac:dyDescent="0.4">
      <c r="A122" s="68" t="str">
        <f>IF(B122&lt;&gt;"",COUNTA($B$35:B122),"")</f>
        <v/>
      </c>
      <c r="B122" s="30"/>
      <c r="C122" s="30"/>
      <c r="D122" s="62" t="str">
        <f t="shared" si="14"/>
        <v/>
      </c>
      <c r="E122" s="68" t="str">
        <f t="shared" si="17"/>
        <v/>
      </c>
      <c r="F122" s="68" t="str">
        <f t="shared" si="16"/>
        <v/>
      </c>
      <c r="G122" s="63" t="str">
        <f t="shared" si="15"/>
        <v/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spans="1:24" s="64" customFormat="1" x14ac:dyDescent="0.4">
      <c r="A123" s="68" t="str">
        <f>IF(B123&lt;&gt;"",COUNTA($B$35:B123),"")</f>
        <v/>
      </c>
      <c r="B123" s="30"/>
      <c r="C123" s="30"/>
      <c r="D123" s="62" t="str">
        <f t="shared" si="14"/>
        <v/>
      </c>
      <c r="E123" s="68" t="str">
        <f t="shared" si="17"/>
        <v/>
      </c>
      <c r="F123" s="68" t="str">
        <f t="shared" si="16"/>
        <v/>
      </c>
      <c r="G123" s="63" t="str">
        <f t="shared" si="15"/>
        <v/>
      </c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spans="1:24" s="64" customFormat="1" x14ac:dyDescent="0.4">
      <c r="A124" s="68" t="str">
        <f>IF(B124&lt;&gt;"",COUNTA($B$35:B124),"")</f>
        <v/>
      </c>
      <c r="B124" s="30"/>
      <c r="C124" s="30"/>
      <c r="D124" s="62" t="str">
        <f t="shared" si="14"/>
        <v/>
      </c>
      <c r="E124" s="68" t="str">
        <f t="shared" si="17"/>
        <v/>
      </c>
      <c r="F124" s="68" t="str">
        <f t="shared" si="16"/>
        <v/>
      </c>
      <c r="G124" s="63" t="str">
        <f t="shared" si="15"/>
        <v/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spans="1:24" s="64" customFormat="1" x14ac:dyDescent="0.4">
      <c r="A125" s="68" t="str">
        <f>IF(B125&lt;&gt;"",COUNTA($B$35:B125),"")</f>
        <v/>
      </c>
      <c r="B125" s="30"/>
      <c r="C125" s="30"/>
      <c r="D125" s="62" t="str">
        <f t="shared" si="14"/>
        <v/>
      </c>
      <c r="E125" s="68" t="str">
        <f t="shared" si="17"/>
        <v/>
      </c>
      <c r="F125" s="68" t="str">
        <f t="shared" si="16"/>
        <v/>
      </c>
      <c r="G125" s="63" t="str">
        <f t="shared" si="15"/>
        <v/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spans="1:24" s="64" customFormat="1" x14ac:dyDescent="0.4">
      <c r="A126" s="68" t="str">
        <f>IF(B126&lt;&gt;"",COUNTA($B$35:B126),"")</f>
        <v/>
      </c>
      <c r="B126" s="30"/>
      <c r="C126" s="30"/>
      <c r="D126" s="62" t="str">
        <f t="shared" si="14"/>
        <v/>
      </c>
      <c r="E126" s="68" t="str">
        <f t="shared" si="17"/>
        <v/>
      </c>
      <c r="F126" s="68" t="str">
        <f t="shared" si="16"/>
        <v/>
      </c>
      <c r="G126" s="63" t="str">
        <f t="shared" si="15"/>
        <v/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spans="1:24" s="64" customFormat="1" x14ac:dyDescent="0.4">
      <c r="A127" s="68" t="str">
        <f>IF(B127&lt;&gt;"",COUNTA($B$35:B127),"")</f>
        <v/>
      </c>
      <c r="B127" s="30"/>
      <c r="C127" s="30"/>
      <c r="D127" s="62" t="str">
        <f t="shared" si="14"/>
        <v/>
      </c>
      <c r="E127" s="68" t="str">
        <f t="shared" si="17"/>
        <v/>
      </c>
      <c r="F127" s="68" t="str">
        <f t="shared" si="16"/>
        <v/>
      </c>
      <c r="G127" s="63" t="str">
        <f t="shared" si="15"/>
        <v/>
      </c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spans="1:24" s="64" customFormat="1" x14ac:dyDescent="0.4">
      <c r="A128" s="68" t="str">
        <f>IF(B128&lt;&gt;"",COUNTA($B$35:B128),"")</f>
        <v/>
      </c>
      <c r="B128" s="30"/>
      <c r="C128" s="30"/>
      <c r="D128" s="62" t="str">
        <f t="shared" si="14"/>
        <v/>
      </c>
      <c r="E128" s="68" t="str">
        <f t="shared" si="17"/>
        <v/>
      </c>
      <c r="F128" s="68" t="str">
        <f t="shared" si="16"/>
        <v/>
      </c>
      <c r="G128" s="63" t="str">
        <f t="shared" si="15"/>
        <v/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spans="1:24" s="64" customFormat="1" x14ac:dyDescent="0.4">
      <c r="A129" s="68" t="str">
        <f>IF(B129&lt;&gt;"",COUNTA($B$35:B129),"")</f>
        <v/>
      </c>
      <c r="B129" s="30"/>
      <c r="C129" s="30"/>
      <c r="D129" s="62" t="str">
        <f t="shared" si="14"/>
        <v/>
      </c>
      <c r="E129" s="68" t="str">
        <f t="shared" si="17"/>
        <v/>
      </c>
      <c r="F129" s="68" t="str">
        <f t="shared" si="16"/>
        <v/>
      </c>
      <c r="G129" s="63" t="str">
        <f t="shared" si="15"/>
        <v/>
      </c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spans="1:24" s="64" customFormat="1" x14ac:dyDescent="0.4">
      <c r="A130" s="68" t="str">
        <f>IF(B130&lt;&gt;"",COUNTA($B$35:B130),"")</f>
        <v/>
      </c>
      <c r="B130" s="30"/>
      <c r="C130" s="30"/>
      <c r="D130" s="62" t="str">
        <f t="shared" si="14"/>
        <v/>
      </c>
      <c r="E130" s="68" t="str">
        <f t="shared" si="17"/>
        <v/>
      </c>
      <c r="F130" s="68" t="str">
        <f t="shared" si="16"/>
        <v/>
      </c>
      <c r="G130" s="63" t="str">
        <f t="shared" si="15"/>
        <v/>
      </c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spans="1:24" s="64" customFormat="1" x14ac:dyDescent="0.4">
      <c r="A131" s="68" t="str">
        <f>IF(B131&lt;&gt;"",COUNTA($B$35:B131),"")</f>
        <v/>
      </c>
      <c r="B131" s="30"/>
      <c r="C131" s="30"/>
      <c r="D131" s="62" t="str">
        <f t="shared" si="14"/>
        <v/>
      </c>
      <c r="E131" s="68" t="str">
        <f t="shared" si="17"/>
        <v/>
      </c>
      <c r="F131" s="68" t="str">
        <f t="shared" si="16"/>
        <v/>
      </c>
      <c r="G131" s="63" t="str">
        <f t="shared" si="15"/>
        <v/>
      </c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spans="1:24" s="64" customFormat="1" x14ac:dyDescent="0.4">
      <c r="A132" s="68" t="str">
        <f>IF(B132&lt;&gt;"",COUNTA($B$35:B132),"")</f>
        <v/>
      </c>
      <c r="B132" s="30"/>
      <c r="C132" s="30"/>
      <c r="D132" s="62" t="str">
        <f t="shared" si="14"/>
        <v/>
      </c>
      <c r="E132" s="68" t="str">
        <f t="shared" si="17"/>
        <v/>
      </c>
      <c r="F132" s="68" t="str">
        <f t="shared" si="16"/>
        <v/>
      </c>
      <c r="G132" s="63" t="str">
        <f t="shared" si="15"/>
        <v/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spans="1:24" s="64" customFormat="1" x14ac:dyDescent="0.4">
      <c r="A133" s="68" t="str">
        <f>IF(B133&lt;&gt;"",COUNTA($B$35:B133),"")</f>
        <v/>
      </c>
      <c r="B133" s="30"/>
      <c r="C133" s="30"/>
      <c r="D133" s="62" t="str">
        <f t="shared" si="14"/>
        <v/>
      </c>
      <c r="E133" s="68" t="str">
        <f t="shared" si="17"/>
        <v/>
      </c>
      <c r="F133" s="68" t="str">
        <f t="shared" si="16"/>
        <v/>
      </c>
      <c r="G133" s="63" t="str">
        <f t="shared" si="15"/>
        <v/>
      </c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spans="1:24" s="64" customFormat="1" x14ac:dyDescent="0.4">
      <c r="A134" s="68" t="str">
        <f>IF(B134&lt;&gt;"",COUNTA($B$35:B134),"")</f>
        <v/>
      </c>
      <c r="B134" s="30"/>
      <c r="C134" s="30"/>
      <c r="D134" s="62" t="str">
        <f t="shared" si="14"/>
        <v/>
      </c>
      <c r="E134" s="68" t="str">
        <f t="shared" si="17"/>
        <v/>
      </c>
      <c r="F134" s="68" t="str">
        <f t="shared" si="16"/>
        <v/>
      </c>
      <c r="G134" s="63" t="str">
        <f t="shared" si="15"/>
        <v/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spans="1:24" s="64" customFormat="1" x14ac:dyDescent="0.4">
      <c r="A135" s="68" t="str">
        <f>IF(B135&lt;&gt;"",COUNTA($B$35:B135),"")</f>
        <v/>
      </c>
      <c r="B135" s="30"/>
      <c r="C135" s="30"/>
      <c r="D135" s="62" t="str">
        <f t="shared" si="14"/>
        <v/>
      </c>
      <c r="E135" s="68" t="str">
        <f t="shared" si="17"/>
        <v/>
      </c>
      <c r="F135" s="68" t="str">
        <f t="shared" si="16"/>
        <v/>
      </c>
      <c r="G135" s="63" t="str">
        <f t="shared" si="15"/>
        <v/>
      </c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spans="1:24" s="64" customFormat="1" x14ac:dyDescent="0.4">
      <c r="A136" s="68" t="str">
        <f>IF(B136&lt;&gt;"",COUNTA($B$35:B136),"")</f>
        <v/>
      </c>
      <c r="B136" s="30"/>
      <c r="C136" s="30"/>
      <c r="D136" s="62" t="str">
        <f t="shared" si="14"/>
        <v/>
      </c>
      <c r="E136" s="68" t="str">
        <f t="shared" si="17"/>
        <v/>
      </c>
      <c r="F136" s="68" t="str">
        <f t="shared" si="16"/>
        <v/>
      </c>
      <c r="G136" s="63" t="str">
        <f t="shared" si="15"/>
        <v/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spans="1:24" s="64" customFormat="1" x14ac:dyDescent="0.4">
      <c r="A137" s="68" t="str">
        <f>IF(B137&lt;&gt;"",COUNTA($B$35:B137),"")</f>
        <v/>
      </c>
      <c r="B137" s="30"/>
      <c r="C137" s="30"/>
      <c r="D137" s="62" t="str">
        <f t="shared" si="14"/>
        <v/>
      </c>
      <c r="E137" s="68" t="str">
        <f t="shared" si="17"/>
        <v/>
      </c>
      <c r="F137" s="68" t="str">
        <f t="shared" si="16"/>
        <v/>
      </c>
      <c r="G137" s="63" t="str">
        <f t="shared" si="15"/>
        <v/>
      </c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spans="1:24" s="64" customFormat="1" x14ac:dyDescent="0.4">
      <c r="A138" s="68" t="str">
        <f>IF(B138&lt;&gt;"",COUNTA($B$35:B138),"")</f>
        <v/>
      </c>
      <c r="B138" s="30"/>
      <c r="C138" s="30"/>
      <c r="D138" s="62" t="str">
        <f t="shared" si="14"/>
        <v/>
      </c>
      <c r="E138" s="68" t="str">
        <f t="shared" si="17"/>
        <v/>
      </c>
      <c r="F138" s="68" t="str">
        <f t="shared" si="16"/>
        <v/>
      </c>
      <c r="G138" s="63" t="str">
        <f t="shared" si="15"/>
        <v/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spans="1:24" s="64" customFormat="1" x14ac:dyDescent="0.4">
      <c r="A139" s="68" t="str">
        <f>IF(B139&lt;&gt;"",COUNTA($B$35:B139),"")</f>
        <v/>
      </c>
      <c r="B139" s="30"/>
      <c r="C139" s="30"/>
      <c r="D139" s="62" t="str">
        <f t="shared" si="14"/>
        <v/>
      </c>
      <c r="E139" s="68" t="str">
        <f t="shared" si="17"/>
        <v/>
      </c>
      <c r="F139" s="68" t="str">
        <f t="shared" si="16"/>
        <v/>
      </c>
      <c r="G139" s="63" t="str">
        <f t="shared" si="15"/>
        <v/>
      </c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spans="1:24" s="64" customFormat="1" x14ac:dyDescent="0.4">
      <c r="A140" s="68" t="str">
        <f>IF(B140&lt;&gt;"",COUNTA($B$35:B140),"")</f>
        <v/>
      </c>
      <c r="B140" s="30"/>
      <c r="C140" s="30"/>
      <c r="D140" s="62" t="str">
        <f t="shared" si="14"/>
        <v/>
      </c>
      <c r="E140" s="68" t="str">
        <f t="shared" si="17"/>
        <v/>
      </c>
      <c r="F140" s="68" t="str">
        <f t="shared" si="16"/>
        <v/>
      </c>
      <c r="G140" s="63" t="str">
        <f t="shared" si="15"/>
        <v/>
      </c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spans="1:24" s="64" customFormat="1" x14ac:dyDescent="0.4">
      <c r="A141" s="68" t="str">
        <f>IF(B141&lt;&gt;"",COUNTA($B$35:B141),"")</f>
        <v/>
      </c>
      <c r="B141" s="30"/>
      <c r="C141" s="30"/>
      <c r="D141" s="62" t="str">
        <f t="shared" si="14"/>
        <v/>
      </c>
      <c r="E141" s="68" t="str">
        <f t="shared" si="17"/>
        <v/>
      </c>
      <c r="F141" s="68" t="str">
        <f t="shared" si="16"/>
        <v/>
      </c>
      <c r="G141" s="63" t="str">
        <f t="shared" si="15"/>
        <v/>
      </c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spans="1:24" s="64" customFormat="1" x14ac:dyDescent="0.4">
      <c r="A142" s="68" t="str">
        <f>IF(B142&lt;&gt;"",COUNTA($B$35:B142),"")</f>
        <v/>
      </c>
      <c r="B142" s="30"/>
      <c r="C142" s="30"/>
      <c r="D142" s="62" t="str">
        <f t="shared" si="14"/>
        <v/>
      </c>
      <c r="E142" s="68" t="str">
        <f t="shared" si="17"/>
        <v/>
      </c>
      <c r="F142" s="68" t="str">
        <f t="shared" si="16"/>
        <v/>
      </c>
      <c r="G142" s="63" t="str">
        <f t="shared" si="15"/>
        <v/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spans="1:24" s="64" customFormat="1" x14ac:dyDescent="0.4">
      <c r="A143" s="68" t="str">
        <f>IF(B143&lt;&gt;"",COUNTA($B$35:B143),"")</f>
        <v/>
      </c>
      <c r="B143" s="30"/>
      <c r="C143" s="30"/>
      <c r="D143" s="62" t="str">
        <f t="shared" si="14"/>
        <v/>
      </c>
      <c r="E143" s="68" t="str">
        <f t="shared" si="17"/>
        <v/>
      </c>
      <c r="F143" s="68" t="str">
        <f t="shared" si="16"/>
        <v/>
      </c>
      <c r="G143" s="63" t="str">
        <f t="shared" si="15"/>
        <v/>
      </c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spans="1:24" s="64" customFormat="1" x14ac:dyDescent="0.4">
      <c r="A144" s="68" t="str">
        <f>IF(B144&lt;&gt;"",COUNTA($B$35:B144),"")</f>
        <v/>
      </c>
      <c r="B144" s="30"/>
      <c r="C144" s="30"/>
      <c r="D144" s="62" t="str">
        <f t="shared" si="14"/>
        <v/>
      </c>
      <c r="E144" s="68" t="str">
        <f t="shared" si="17"/>
        <v/>
      </c>
      <c r="F144" s="68" t="str">
        <f t="shared" si="16"/>
        <v/>
      </c>
      <c r="G144" s="63" t="str">
        <f t="shared" si="15"/>
        <v/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spans="1:24" s="64" customFormat="1" x14ac:dyDescent="0.4">
      <c r="A145" s="68" t="str">
        <f>IF(B145&lt;&gt;"",COUNTA($B$35:B145),"")</f>
        <v/>
      </c>
      <c r="B145" s="30"/>
      <c r="C145" s="30"/>
      <c r="D145" s="62" t="str">
        <f t="shared" si="14"/>
        <v/>
      </c>
      <c r="E145" s="68" t="str">
        <f t="shared" si="17"/>
        <v/>
      </c>
      <c r="F145" s="68" t="str">
        <f t="shared" si="16"/>
        <v/>
      </c>
      <c r="G145" s="63" t="str">
        <f t="shared" si="15"/>
        <v/>
      </c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spans="1:24" s="64" customFormat="1" x14ac:dyDescent="0.4">
      <c r="A146" s="68" t="str">
        <f>IF(B146&lt;&gt;"",COUNTA($B$35:B146),"")</f>
        <v/>
      </c>
      <c r="B146" s="30"/>
      <c r="C146" s="30"/>
      <c r="D146" s="62" t="str">
        <f t="shared" si="14"/>
        <v/>
      </c>
      <c r="E146" s="68" t="str">
        <f t="shared" si="17"/>
        <v/>
      </c>
      <c r="F146" s="68" t="str">
        <f t="shared" si="16"/>
        <v/>
      </c>
      <c r="G146" s="63" t="str">
        <f t="shared" si="15"/>
        <v/>
      </c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spans="1:24" s="64" customFormat="1" x14ac:dyDescent="0.4">
      <c r="A147" s="68" t="str">
        <f>IF(B147&lt;&gt;"",COUNTA($B$35:B147),"")</f>
        <v/>
      </c>
      <c r="B147" s="30"/>
      <c r="C147" s="30"/>
      <c r="D147" s="62" t="str">
        <f t="shared" si="14"/>
        <v/>
      </c>
      <c r="E147" s="68" t="str">
        <f t="shared" si="17"/>
        <v/>
      </c>
      <c r="F147" s="68" t="str">
        <f t="shared" si="16"/>
        <v/>
      </c>
      <c r="G147" s="63" t="str">
        <f t="shared" si="15"/>
        <v/>
      </c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spans="1:24" s="64" customFormat="1" x14ac:dyDescent="0.4">
      <c r="A148" s="68" t="str">
        <f>IF(B148&lt;&gt;"",COUNTA($B$35:B148),"")</f>
        <v/>
      </c>
      <c r="B148" s="30"/>
      <c r="C148" s="30"/>
      <c r="D148" s="62" t="str">
        <f t="shared" si="14"/>
        <v/>
      </c>
      <c r="E148" s="68" t="str">
        <f t="shared" si="17"/>
        <v/>
      </c>
      <c r="F148" s="68" t="str">
        <f t="shared" si="16"/>
        <v/>
      </c>
      <c r="G148" s="63" t="str">
        <f t="shared" si="15"/>
        <v/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spans="1:24" s="64" customFormat="1" x14ac:dyDescent="0.4">
      <c r="A149" s="68" t="str">
        <f>IF(B149&lt;&gt;"",COUNTA($B$35:B149),"")</f>
        <v/>
      </c>
      <c r="B149" s="30"/>
      <c r="C149" s="30"/>
      <c r="D149" s="62" t="str">
        <f t="shared" si="14"/>
        <v/>
      </c>
      <c r="E149" s="68" t="str">
        <f t="shared" si="17"/>
        <v/>
      </c>
      <c r="F149" s="68" t="str">
        <f t="shared" si="16"/>
        <v/>
      </c>
      <c r="G149" s="63" t="str">
        <f t="shared" si="15"/>
        <v/>
      </c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spans="1:24" s="64" customFormat="1" x14ac:dyDescent="0.4">
      <c r="A150" s="68" t="str">
        <f>IF(B150&lt;&gt;"",COUNTA($B$35:B150),"")</f>
        <v/>
      </c>
      <c r="B150" s="30"/>
      <c r="C150" s="30"/>
      <c r="D150" s="62" t="str">
        <f t="shared" si="14"/>
        <v/>
      </c>
      <c r="E150" s="68" t="str">
        <f t="shared" si="17"/>
        <v/>
      </c>
      <c r="F150" s="68" t="str">
        <f t="shared" si="16"/>
        <v/>
      </c>
      <c r="G150" s="63" t="str">
        <f t="shared" si="15"/>
        <v/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spans="1:24" s="64" customFormat="1" x14ac:dyDescent="0.4">
      <c r="A151" s="68" t="str">
        <f>IF(B151&lt;&gt;"",COUNTA($B$35:B151),"")</f>
        <v/>
      </c>
      <c r="B151" s="30"/>
      <c r="C151" s="30"/>
      <c r="D151" s="62" t="str">
        <f t="shared" si="14"/>
        <v/>
      </c>
      <c r="E151" s="68" t="str">
        <f t="shared" si="17"/>
        <v/>
      </c>
      <c r="F151" s="68" t="str">
        <f t="shared" si="16"/>
        <v/>
      </c>
      <c r="G151" s="63" t="str">
        <f t="shared" si="15"/>
        <v/>
      </c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spans="1:24" s="64" customFormat="1" x14ac:dyDescent="0.4">
      <c r="A152" s="68" t="str">
        <f>IF(B152&lt;&gt;"",COUNTA($B$35:B152),"")</f>
        <v/>
      </c>
      <c r="B152" s="30"/>
      <c r="C152" s="30"/>
      <c r="D152" s="62" t="str">
        <f t="shared" si="14"/>
        <v/>
      </c>
      <c r="E152" s="68" t="str">
        <f t="shared" si="17"/>
        <v/>
      </c>
      <c r="F152" s="68" t="str">
        <f t="shared" si="16"/>
        <v/>
      </c>
      <c r="G152" s="63" t="str">
        <f t="shared" si="15"/>
        <v/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spans="1:24" s="64" customFormat="1" x14ac:dyDescent="0.4">
      <c r="A153" s="68" t="str">
        <f>IF(B153&lt;&gt;"",COUNTA($B$35:B153),"")</f>
        <v/>
      </c>
      <c r="B153" s="30"/>
      <c r="C153" s="30"/>
      <c r="D153" s="62" t="str">
        <f t="shared" si="14"/>
        <v/>
      </c>
      <c r="E153" s="68" t="str">
        <f t="shared" si="17"/>
        <v/>
      </c>
      <c r="F153" s="68" t="str">
        <f t="shared" si="16"/>
        <v/>
      </c>
      <c r="G153" s="63" t="str">
        <f t="shared" si="15"/>
        <v/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spans="1:24" s="64" customFormat="1" x14ac:dyDescent="0.4">
      <c r="A154" s="68" t="str">
        <f>IF(B154&lt;&gt;"",COUNTA($B$35:B154),"")</f>
        <v/>
      </c>
      <c r="B154" s="30"/>
      <c r="C154" s="30"/>
      <c r="D154" s="62" t="str">
        <f t="shared" si="14"/>
        <v/>
      </c>
      <c r="E154" s="68" t="str">
        <f t="shared" si="17"/>
        <v/>
      </c>
      <c r="F154" s="68" t="str">
        <f t="shared" si="16"/>
        <v/>
      </c>
      <c r="G154" s="63" t="str">
        <f t="shared" si="15"/>
        <v/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spans="1:24" s="64" customFormat="1" x14ac:dyDescent="0.4">
      <c r="A155" s="68" t="str">
        <f>IF(B155&lt;&gt;"",COUNTA($B$35:B155),"")</f>
        <v/>
      </c>
      <c r="B155" s="30"/>
      <c r="C155" s="30"/>
      <c r="D155" s="62" t="str">
        <f t="shared" si="14"/>
        <v/>
      </c>
      <c r="E155" s="68" t="str">
        <f t="shared" si="17"/>
        <v/>
      </c>
      <c r="F155" s="68" t="str">
        <f t="shared" si="16"/>
        <v/>
      </c>
      <c r="G155" s="63" t="str">
        <f t="shared" si="15"/>
        <v/>
      </c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spans="1:24" s="64" customFormat="1" x14ac:dyDescent="0.4">
      <c r="A156" s="68" t="str">
        <f>IF(B156&lt;&gt;"",COUNTA($B$35:B156),"")</f>
        <v/>
      </c>
      <c r="B156" s="30"/>
      <c r="C156" s="30"/>
      <c r="D156" s="62" t="str">
        <f t="shared" si="14"/>
        <v/>
      </c>
      <c r="E156" s="68" t="str">
        <f t="shared" si="17"/>
        <v/>
      </c>
      <c r="F156" s="68" t="str">
        <f t="shared" si="16"/>
        <v/>
      </c>
      <c r="G156" s="63" t="str">
        <f t="shared" si="15"/>
        <v/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spans="1:24" s="64" customFormat="1" x14ac:dyDescent="0.4">
      <c r="A157" s="68" t="str">
        <f>IF(B157&lt;&gt;"",COUNTA($B$35:B157),"")</f>
        <v/>
      </c>
      <c r="B157" s="30"/>
      <c r="C157" s="30"/>
      <c r="D157" s="62" t="str">
        <f t="shared" si="14"/>
        <v/>
      </c>
      <c r="E157" s="68" t="str">
        <f t="shared" si="17"/>
        <v/>
      </c>
      <c r="F157" s="68" t="str">
        <f t="shared" si="16"/>
        <v/>
      </c>
      <c r="G157" s="63" t="str">
        <f t="shared" si="15"/>
        <v/>
      </c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spans="1:24" s="64" customFormat="1" x14ac:dyDescent="0.4">
      <c r="A158" s="68" t="str">
        <f>IF(B158&lt;&gt;"",COUNTA($B$35:B158),"")</f>
        <v/>
      </c>
      <c r="B158" s="30"/>
      <c r="C158" s="30"/>
      <c r="D158" s="62" t="str">
        <f t="shared" si="14"/>
        <v/>
      </c>
      <c r="E158" s="68" t="str">
        <f t="shared" si="17"/>
        <v/>
      </c>
      <c r="F158" s="68" t="str">
        <f t="shared" si="16"/>
        <v/>
      </c>
      <c r="G158" s="63" t="str">
        <f t="shared" si="15"/>
        <v/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spans="1:24" s="64" customFormat="1" x14ac:dyDescent="0.4">
      <c r="A159" s="68" t="str">
        <f>IF(B159&lt;&gt;"",COUNTA($B$35:B159),"")</f>
        <v/>
      </c>
      <c r="B159" s="30"/>
      <c r="C159" s="30"/>
      <c r="D159" s="62" t="str">
        <f t="shared" si="14"/>
        <v/>
      </c>
      <c r="E159" s="68" t="str">
        <f t="shared" si="17"/>
        <v/>
      </c>
      <c r="F159" s="68" t="str">
        <f t="shared" si="16"/>
        <v/>
      </c>
      <c r="G159" s="63" t="str">
        <f t="shared" si="15"/>
        <v/>
      </c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spans="1:24" s="64" customFormat="1" x14ac:dyDescent="0.4">
      <c r="A160" s="68" t="str">
        <f>IF(B160&lt;&gt;"",COUNTA($B$35:B160),"")</f>
        <v/>
      </c>
      <c r="B160" s="30"/>
      <c r="C160" s="30"/>
      <c r="D160" s="62" t="str">
        <f t="shared" si="14"/>
        <v/>
      </c>
      <c r="E160" s="68" t="str">
        <f t="shared" si="17"/>
        <v/>
      </c>
      <c r="F160" s="68" t="str">
        <f t="shared" si="16"/>
        <v/>
      </c>
      <c r="G160" s="63" t="str">
        <f t="shared" si="15"/>
        <v/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spans="1:24" s="64" customFormat="1" x14ac:dyDescent="0.4">
      <c r="A161" s="68" t="str">
        <f>IF(B161&lt;&gt;"",COUNTA($B$35:B161),"")</f>
        <v/>
      </c>
      <c r="B161" s="30"/>
      <c r="C161" s="30"/>
      <c r="D161" s="62" t="str">
        <f t="shared" ref="D161:D224" si="18">IF(C161="","",(SUM(H161:W161)/D$31)*100)</f>
        <v/>
      </c>
      <c r="E161" s="68" t="str">
        <f t="shared" si="17"/>
        <v/>
      </c>
      <c r="F161" s="68" t="str">
        <f t="shared" si="16"/>
        <v/>
      </c>
      <c r="G161" s="63" t="str">
        <f t="shared" si="15"/>
        <v/>
      </c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spans="1:24" s="64" customFormat="1" x14ac:dyDescent="0.4">
      <c r="A162" s="68" t="str">
        <f>IF(B162&lt;&gt;"",COUNTA($B$35:B162),"")</f>
        <v/>
      </c>
      <c r="B162" s="30"/>
      <c r="C162" s="30"/>
      <c r="D162" s="62" t="str">
        <f t="shared" si="18"/>
        <v/>
      </c>
      <c r="E162" s="68" t="str">
        <f t="shared" si="17"/>
        <v/>
      </c>
      <c r="F162" s="68" t="str">
        <f t="shared" si="16"/>
        <v/>
      </c>
      <c r="G162" s="63" t="str">
        <f t="shared" ref="G162:G225" si="19">IF(D162 = "", "", IF(D162 &gt;= 70, "FCD", IF(D162 &gt;= 60, "FC", IF(D162 &gt;= 35, "SC", ""))))</f>
        <v/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spans="1:24" s="64" customFormat="1" x14ac:dyDescent="0.4">
      <c r="A163" s="68" t="str">
        <f>IF(B163&lt;&gt;"",COUNTA($B$35:B163),"")</f>
        <v/>
      </c>
      <c r="B163" s="30"/>
      <c r="C163" s="30"/>
      <c r="D163" s="62" t="str">
        <f t="shared" si="18"/>
        <v/>
      </c>
      <c r="E163" s="68" t="str">
        <f t="shared" si="17"/>
        <v/>
      </c>
      <c r="F163" s="68" t="str">
        <f t="shared" si="16"/>
        <v/>
      </c>
      <c r="G163" s="63" t="str">
        <f t="shared" si="19"/>
        <v/>
      </c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spans="1:24" s="64" customFormat="1" x14ac:dyDescent="0.4">
      <c r="A164" s="68" t="str">
        <f>IF(B164&lt;&gt;"",COUNTA($B$35:B164),"")</f>
        <v/>
      </c>
      <c r="B164" s="30"/>
      <c r="C164" s="30"/>
      <c r="D164" s="62" t="str">
        <f t="shared" si="18"/>
        <v/>
      </c>
      <c r="E164" s="68" t="str">
        <f t="shared" si="17"/>
        <v/>
      </c>
      <c r="F164" s="68" t="str">
        <f t="shared" ref="F164:F227" si="20">IF(E164="Pass",G164, IF(E164="FAIL","FAIL",""))</f>
        <v/>
      </c>
      <c r="G164" s="63" t="str">
        <f t="shared" si="19"/>
        <v/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spans="1:24" s="64" customFormat="1" x14ac:dyDescent="0.4">
      <c r="A165" s="68" t="str">
        <f>IF(B165&lt;&gt;"",COUNTA($B$35:B165),"")</f>
        <v/>
      </c>
      <c r="B165" s="30"/>
      <c r="C165" s="30"/>
      <c r="D165" s="62" t="str">
        <f t="shared" si="18"/>
        <v/>
      </c>
      <c r="E165" s="68" t="str">
        <f t="shared" si="17"/>
        <v/>
      </c>
      <c r="F165" s="68" t="str">
        <f t="shared" si="20"/>
        <v/>
      </c>
      <c r="G165" s="63" t="str">
        <f t="shared" si="19"/>
        <v/>
      </c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spans="1:24" s="64" customFormat="1" x14ac:dyDescent="0.4">
      <c r="A166" s="68" t="str">
        <f>IF(B166&lt;&gt;"",COUNTA($B$35:B166),"")</f>
        <v/>
      </c>
      <c r="B166" s="30"/>
      <c r="C166" s="30"/>
      <c r="D166" s="62" t="str">
        <f t="shared" si="18"/>
        <v/>
      </c>
      <c r="E166" s="68" t="str">
        <f t="shared" si="17"/>
        <v/>
      </c>
      <c r="F166" s="68" t="str">
        <f t="shared" si="20"/>
        <v/>
      </c>
      <c r="G166" s="63" t="str">
        <f t="shared" si="19"/>
        <v/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spans="1:24" s="64" customFormat="1" x14ac:dyDescent="0.4">
      <c r="A167" s="68" t="str">
        <f>IF(B167&lt;&gt;"",COUNTA($B$35:B167),"")</f>
        <v/>
      </c>
      <c r="B167" s="30"/>
      <c r="C167" s="30"/>
      <c r="D167" s="62" t="str">
        <f t="shared" si="18"/>
        <v/>
      </c>
      <c r="E167" s="68" t="str">
        <f t="shared" si="17"/>
        <v/>
      </c>
      <c r="F167" s="68" t="str">
        <f t="shared" si="20"/>
        <v/>
      </c>
      <c r="G167" s="63" t="str">
        <f t="shared" si="19"/>
        <v/>
      </c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spans="1:24" s="64" customFormat="1" x14ac:dyDescent="0.4">
      <c r="A168" s="68" t="str">
        <f>IF(B168&lt;&gt;"",COUNTA($B$35:B168),"")</f>
        <v/>
      </c>
      <c r="B168" s="30"/>
      <c r="C168" s="30"/>
      <c r="D168" s="62" t="str">
        <f t="shared" si="18"/>
        <v/>
      </c>
      <c r="E168" s="68" t="str">
        <f t="shared" ref="E168:E231" si="21">IF(ISBLANK(B168),"",IF(OR(I168&lt;18,K168&lt;18,M168&lt;18,O168&lt;18,Q168&lt;18,S168&lt;18,U168&lt;18,W168&lt;18),"FAIL","PASS"))</f>
        <v/>
      </c>
      <c r="F168" s="68" t="str">
        <f t="shared" si="20"/>
        <v/>
      </c>
      <c r="G168" s="63" t="str">
        <f t="shared" si="19"/>
        <v/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spans="1:24" s="64" customFormat="1" x14ac:dyDescent="0.4">
      <c r="A169" s="68" t="str">
        <f>IF(B169&lt;&gt;"",COUNTA($B$35:B169),"")</f>
        <v/>
      </c>
      <c r="B169" s="30"/>
      <c r="C169" s="30"/>
      <c r="D169" s="62" t="str">
        <f t="shared" si="18"/>
        <v/>
      </c>
      <c r="E169" s="68" t="str">
        <f t="shared" si="21"/>
        <v/>
      </c>
      <c r="F169" s="68" t="str">
        <f t="shared" si="20"/>
        <v/>
      </c>
      <c r="G169" s="63" t="str">
        <f t="shared" si="19"/>
        <v/>
      </c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spans="1:24" s="64" customFormat="1" x14ac:dyDescent="0.4">
      <c r="A170" s="68" t="str">
        <f>IF(B170&lt;&gt;"",COUNTA($B$35:B170),"")</f>
        <v/>
      </c>
      <c r="B170" s="30"/>
      <c r="C170" s="30"/>
      <c r="D170" s="62" t="str">
        <f t="shared" si="18"/>
        <v/>
      </c>
      <c r="E170" s="68" t="str">
        <f t="shared" si="21"/>
        <v/>
      </c>
      <c r="F170" s="68" t="str">
        <f t="shared" si="20"/>
        <v/>
      </c>
      <c r="G170" s="63" t="str">
        <f t="shared" si="19"/>
        <v/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spans="1:24" s="64" customFormat="1" x14ac:dyDescent="0.4">
      <c r="A171" s="68" t="str">
        <f>IF(B171&lt;&gt;"",COUNTA($B$35:B171),"")</f>
        <v/>
      </c>
      <c r="B171" s="30"/>
      <c r="C171" s="30"/>
      <c r="D171" s="62" t="str">
        <f t="shared" si="18"/>
        <v/>
      </c>
      <c r="E171" s="68" t="str">
        <f t="shared" si="21"/>
        <v/>
      </c>
      <c r="F171" s="68" t="str">
        <f t="shared" si="20"/>
        <v/>
      </c>
      <c r="G171" s="63" t="str">
        <f t="shared" si="19"/>
        <v/>
      </c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spans="1:24" s="64" customFormat="1" x14ac:dyDescent="0.4">
      <c r="A172" s="68" t="str">
        <f>IF(B172&lt;&gt;"",COUNTA($B$35:B172),"")</f>
        <v/>
      </c>
      <c r="B172" s="30"/>
      <c r="C172" s="30"/>
      <c r="D172" s="62" t="str">
        <f t="shared" si="18"/>
        <v/>
      </c>
      <c r="E172" s="68" t="str">
        <f t="shared" si="21"/>
        <v/>
      </c>
      <c r="F172" s="68" t="str">
        <f t="shared" si="20"/>
        <v/>
      </c>
      <c r="G172" s="63" t="str">
        <f t="shared" si="19"/>
        <v/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spans="1:24" s="64" customFormat="1" x14ac:dyDescent="0.4">
      <c r="A173" s="68" t="str">
        <f>IF(B173&lt;&gt;"",COUNTA($B$35:B173),"")</f>
        <v/>
      </c>
      <c r="B173" s="30"/>
      <c r="C173" s="30"/>
      <c r="D173" s="62" t="str">
        <f t="shared" si="18"/>
        <v/>
      </c>
      <c r="E173" s="68" t="str">
        <f t="shared" si="21"/>
        <v/>
      </c>
      <c r="F173" s="68" t="str">
        <f t="shared" si="20"/>
        <v/>
      </c>
      <c r="G173" s="63" t="str">
        <f t="shared" si="19"/>
        <v/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spans="1:24" s="64" customFormat="1" x14ac:dyDescent="0.4">
      <c r="A174" s="68" t="str">
        <f>IF(B174&lt;&gt;"",COUNTA($B$35:B174),"")</f>
        <v/>
      </c>
      <c r="B174" s="30"/>
      <c r="C174" s="30"/>
      <c r="D174" s="62" t="str">
        <f t="shared" si="18"/>
        <v/>
      </c>
      <c r="E174" s="68" t="str">
        <f t="shared" si="21"/>
        <v/>
      </c>
      <c r="F174" s="68" t="str">
        <f t="shared" si="20"/>
        <v/>
      </c>
      <c r="G174" s="63" t="str">
        <f t="shared" si="19"/>
        <v/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spans="1:24" s="64" customFormat="1" x14ac:dyDescent="0.4">
      <c r="A175" s="68" t="str">
        <f>IF(B175&lt;&gt;"",COUNTA($B$35:B175),"")</f>
        <v/>
      </c>
      <c r="B175" s="30"/>
      <c r="C175" s="30"/>
      <c r="D175" s="62" t="str">
        <f t="shared" si="18"/>
        <v/>
      </c>
      <c r="E175" s="68" t="str">
        <f t="shared" si="21"/>
        <v/>
      </c>
      <c r="F175" s="68" t="str">
        <f t="shared" si="20"/>
        <v/>
      </c>
      <c r="G175" s="63" t="str">
        <f t="shared" si="19"/>
        <v/>
      </c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spans="1:24" s="64" customFormat="1" x14ac:dyDescent="0.4">
      <c r="A176" s="68" t="str">
        <f>IF(B176&lt;&gt;"",COUNTA($B$35:B176),"")</f>
        <v/>
      </c>
      <c r="B176" s="30"/>
      <c r="C176" s="30"/>
      <c r="D176" s="62" t="str">
        <f t="shared" si="18"/>
        <v/>
      </c>
      <c r="E176" s="68" t="str">
        <f t="shared" si="21"/>
        <v/>
      </c>
      <c r="F176" s="68" t="str">
        <f t="shared" si="20"/>
        <v/>
      </c>
      <c r="G176" s="63" t="str">
        <f t="shared" si="19"/>
        <v/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spans="1:24" s="64" customFormat="1" x14ac:dyDescent="0.4">
      <c r="A177" s="68" t="str">
        <f>IF(B177&lt;&gt;"",COUNTA($B$35:B177),"")</f>
        <v/>
      </c>
      <c r="B177" s="30"/>
      <c r="C177" s="30"/>
      <c r="D177" s="62" t="str">
        <f t="shared" si="18"/>
        <v/>
      </c>
      <c r="E177" s="68" t="str">
        <f t="shared" si="21"/>
        <v/>
      </c>
      <c r="F177" s="68" t="str">
        <f t="shared" si="20"/>
        <v/>
      </c>
      <c r="G177" s="63" t="str">
        <f t="shared" si="19"/>
        <v/>
      </c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spans="1:24" s="64" customFormat="1" x14ac:dyDescent="0.4">
      <c r="A178" s="68" t="str">
        <f>IF(B178&lt;&gt;"",COUNTA($B$35:B178),"")</f>
        <v/>
      </c>
      <c r="B178" s="30"/>
      <c r="C178" s="30"/>
      <c r="D178" s="62" t="str">
        <f t="shared" si="18"/>
        <v/>
      </c>
      <c r="E178" s="68" t="str">
        <f t="shared" si="21"/>
        <v/>
      </c>
      <c r="F178" s="68" t="str">
        <f t="shared" si="20"/>
        <v/>
      </c>
      <c r="G178" s="63" t="str">
        <f t="shared" si="19"/>
        <v/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spans="1:24" s="64" customFormat="1" x14ac:dyDescent="0.4">
      <c r="A179" s="68" t="str">
        <f>IF(B179&lt;&gt;"",COUNTA($B$35:B179),"")</f>
        <v/>
      </c>
      <c r="B179" s="30"/>
      <c r="C179" s="30"/>
      <c r="D179" s="62" t="str">
        <f t="shared" si="18"/>
        <v/>
      </c>
      <c r="E179" s="68" t="str">
        <f t="shared" si="21"/>
        <v/>
      </c>
      <c r="F179" s="68" t="str">
        <f t="shared" si="20"/>
        <v/>
      </c>
      <c r="G179" s="63" t="str">
        <f t="shared" si="19"/>
        <v/>
      </c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spans="1:24" s="64" customFormat="1" x14ac:dyDescent="0.4">
      <c r="A180" s="68" t="str">
        <f>IF(B180&lt;&gt;"",COUNTA($B$35:B180),"")</f>
        <v/>
      </c>
      <c r="B180" s="30"/>
      <c r="C180" s="30"/>
      <c r="D180" s="62" t="str">
        <f t="shared" si="18"/>
        <v/>
      </c>
      <c r="E180" s="68" t="str">
        <f t="shared" si="21"/>
        <v/>
      </c>
      <c r="F180" s="68" t="str">
        <f t="shared" si="20"/>
        <v/>
      </c>
      <c r="G180" s="63" t="str">
        <f t="shared" si="19"/>
        <v/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spans="1:24" s="64" customFormat="1" x14ac:dyDescent="0.4">
      <c r="A181" s="68" t="str">
        <f>IF(B181&lt;&gt;"",COUNTA($B$35:B181),"")</f>
        <v/>
      </c>
      <c r="B181" s="30"/>
      <c r="C181" s="30"/>
      <c r="D181" s="62" t="str">
        <f t="shared" si="18"/>
        <v/>
      </c>
      <c r="E181" s="68" t="str">
        <f t="shared" si="21"/>
        <v/>
      </c>
      <c r="F181" s="68" t="str">
        <f t="shared" si="20"/>
        <v/>
      </c>
      <c r="G181" s="63" t="str">
        <f t="shared" si="19"/>
        <v/>
      </c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spans="1:24" s="64" customFormat="1" x14ac:dyDescent="0.4">
      <c r="A182" s="68" t="str">
        <f>IF(B182&lt;&gt;"",COUNTA($B$35:B182),"")</f>
        <v/>
      </c>
      <c r="B182" s="30"/>
      <c r="C182" s="30"/>
      <c r="D182" s="62" t="str">
        <f t="shared" si="18"/>
        <v/>
      </c>
      <c r="E182" s="68" t="str">
        <f t="shared" si="21"/>
        <v/>
      </c>
      <c r="F182" s="68" t="str">
        <f t="shared" si="20"/>
        <v/>
      </c>
      <c r="G182" s="63" t="str">
        <f t="shared" si="19"/>
        <v/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spans="1:24" s="64" customFormat="1" x14ac:dyDescent="0.4">
      <c r="A183" s="68" t="str">
        <f>IF(B183&lt;&gt;"",COUNTA($B$35:B183),"")</f>
        <v/>
      </c>
      <c r="B183" s="30"/>
      <c r="C183" s="30"/>
      <c r="D183" s="62" t="str">
        <f t="shared" si="18"/>
        <v/>
      </c>
      <c r="E183" s="68" t="str">
        <f t="shared" si="21"/>
        <v/>
      </c>
      <c r="F183" s="68" t="str">
        <f t="shared" si="20"/>
        <v/>
      </c>
      <c r="G183" s="63" t="str">
        <f t="shared" si="19"/>
        <v/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spans="1:24" s="64" customFormat="1" x14ac:dyDescent="0.4">
      <c r="A184" s="68" t="str">
        <f>IF(B184&lt;&gt;"",COUNTA($B$35:B184),"")</f>
        <v/>
      </c>
      <c r="B184" s="30"/>
      <c r="C184" s="30"/>
      <c r="D184" s="62" t="str">
        <f t="shared" si="18"/>
        <v/>
      </c>
      <c r="E184" s="68" t="str">
        <f t="shared" si="21"/>
        <v/>
      </c>
      <c r="F184" s="68" t="str">
        <f t="shared" si="20"/>
        <v/>
      </c>
      <c r="G184" s="63" t="str">
        <f t="shared" si="19"/>
        <v/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spans="1:24" s="64" customFormat="1" x14ac:dyDescent="0.4">
      <c r="A185" s="68" t="str">
        <f>IF(B185&lt;&gt;"",COUNTA($B$35:B185),"")</f>
        <v/>
      </c>
      <c r="B185" s="30"/>
      <c r="C185" s="30"/>
      <c r="D185" s="62" t="str">
        <f t="shared" si="18"/>
        <v/>
      </c>
      <c r="E185" s="68" t="str">
        <f t="shared" si="21"/>
        <v/>
      </c>
      <c r="F185" s="68" t="str">
        <f t="shared" si="20"/>
        <v/>
      </c>
      <c r="G185" s="63" t="str">
        <f t="shared" si="19"/>
        <v/>
      </c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spans="1:24" s="64" customFormat="1" x14ac:dyDescent="0.4">
      <c r="A186" s="68" t="str">
        <f>IF(B186&lt;&gt;"",COUNTA($B$35:B186),"")</f>
        <v/>
      </c>
      <c r="B186" s="30"/>
      <c r="C186" s="30"/>
      <c r="D186" s="62" t="str">
        <f t="shared" si="18"/>
        <v/>
      </c>
      <c r="E186" s="68" t="str">
        <f t="shared" si="21"/>
        <v/>
      </c>
      <c r="F186" s="68" t="str">
        <f t="shared" si="20"/>
        <v/>
      </c>
      <c r="G186" s="63" t="str">
        <f t="shared" si="19"/>
        <v/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spans="1:24" s="64" customFormat="1" x14ac:dyDescent="0.4">
      <c r="A187" s="68" t="str">
        <f>IF(B187&lt;&gt;"",COUNTA($B$35:B187),"")</f>
        <v/>
      </c>
      <c r="B187" s="30"/>
      <c r="C187" s="30"/>
      <c r="D187" s="62" t="str">
        <f t="shared" si="18"/>
        <v/>
      </c>
      <c r="E187" s="68" t="str">
        <f t="shared" si="21"/>
        <v/>
      </c>
      <c r="F187" s="68" t="str">
        <f t="shared" si="20"/>
        <v/>
      </c>
      <c r="G187" s="63" t="str">
        <f t="shared" si="19"/>
        <v/>
      </c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spans="1:24" s="64" customFormat="1" x14ac:dyDescent="0.4">
      <c r="A188" s="68" t="str">
        <f>IF(B188&lt;&gt;"",COUNTA($B$35:B188),"")</f>
        <v/>
      </c>
      <c r="B188" s="30"/>
      <c r="C188" s="30"/>
      <c r="D188" s="62" t="str">
        <f t="shared" si="18"/>
        <v/>
      </c>
      <c r="E188" s="68" t="str">
        <f t="shared" si="21"/>
        <v/>
      </c>
      <c r="F188" s="68" t="str">
        <f t="shared" si="20"/>
        <v/>
      </c>
      <c r="G188" s="63" t="str">
        <f t="shared" si="19"/>
        <v/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spans="1:24" s="64" customFormat="1" x14ac:dyDescent="0.4">
      <c r="A189" s="68" t="str">
        <f>IF(B189&lt;&gt;"",COUNTA($B$35:B189),"")</f>
        <v/>
      </c>
      <c r="B189" s="30"/>
      <c r="C189" s="30"/>
      <c r="D189" s="62" t="str">
        <f t="shared" si="18"/>
        <v/>
      </c>
      <c r="E189" s="68" t="str">
        <f t="shared" si="21"/>
        <v/>
      </c>
      <c r="F189" s="68" t="str">
        <f t="shared" si="20"/>
        <v/>
      </c>
      <c r="G189" s="63" t="str">
        <f t="shared" si="19"/>
        <v/>
      </c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spans="1:24" s="64" customFormat="1" x14ac:dyDescent="0.4">
      <c r="A190" s="68" t="str">
        <f>IF(B190&lt;&gt;"",COUNTA($B$35:B190),"")</f>
        <v/>
      </c>
      <c r="B190" s="30"/>
      <c r="C190" s="30"/>
      <c r="D190" s="62" t="str">
        <f t="shared" si="18"/>
        <v/>
      </c>
      <c r="E190" s="68" t="str">
        <f t="shared" si="21"/>
        <v/>
      </c>
      <c r="F190" s="68" t="str">
        <f t="shared" si="20"/>
        <v/>
      </c>
      <c r="G190" s="63" t="str">
        <f t="shared" si="19"/>
        <v/>
      </c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spans="1:24" s="64" customFormat="1" x14ac:dyDescent="0.4">
      <c r="A191" s="68" t="str">
        <f>IF(B191&lt;&gt;"",COUNTA($B$35:B191),"")</f>
        <v/>
      </c>
      <c r="B191" s="30"/>
      <c r="C191" s="30"/>
      <c r="D191" s="62" t="str">
        <f t="shared" si="18"/>
        <v/>
      </c>
      <c r="E191" s="68" t="str">
        <f t="shared" si="21"/>
        <v/>
      </c>
      <c r="F191" s="68" t="str">
        <f t="shared" si="20"/>
        <v/>
      </c>
      <c r="G191" s="63" t="str">
        <f t="shared" si="19"/>
        <v/>
      </c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spans="1:24" s="64" customFormat="1" x14ac:dyDescent="0.4">
      <c r="A192" s="68" t="str">
        <f>IF(B192&lt;&gt;"",COUNTA($B$35:B192),"")</f>
        <v/>
      </c>
      <c r="B192" s="30"/>
      <c r="C192" s="30"/>
      <c r="D192" s="62" t="str">
        <f t="shared" si="18"/>
        <v/>
      </c>
      <c r="E192" s="68" t="str">
        <f t="shared" si="21"/>
        <v/>
      </c>
      <c r="F192" s="68" t="str">
        <f t="shared" si="20"/>
        <v/>
      </c>
      <c r="G192" s="63" t="str">
        <f t="shared" si="19"/>
        <v/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spans="1:24" s="64" customFormat="1" x14ac:dyDescent="0.4">
      <c r="A193" s="68" t="str">
        <f>IF(B193&lt;&gt;"",COUNTA($B$35:B193),"")</f>
        <v/>
      </c>
      <c r="B193" s="30"/>
      <c r="C193" s="30"/>
      <c r="D193" s="62" t="str">
        <f t="shared" si="18"/>
        <v/>
      </c>
      <c r="E193" s="68" t="str">
        <f t="shared" si="21"/>
        <v/>
      </c>
      <c r="F193" s="68" t="str">
        <f t="shared" si="20"/>
        <v/>
      </c>
      <c r="G193" s="63" t="str">
        <f t="shared" si="19"/>
        <v/>
      </c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spans="1:24" s="64" customFormat="1" x14ac:dyDescent="0.4">
      <c r="A194" s="68" t="str">
        <f>IF(B194&lt;&gt;"",COUNTA($B$35:B194),"")</f>
        <v/>
      </c>
      <c r="B194" s="30"/>
      <c r="C194" s="30"/>
      <c r="D194" s="62" t="str">
        <f t="shared" si="18"/>
        <v/>
      </c>
      <c r="E194" s="68" t="str">
        <f t="shared" si="21"/>
        <v/>
      </c>
      <c r="F194" s="68" t="str">
        <f t="shared" si="20"/>
        <v/>
      </c>
      <c r="G194" s="63" t="str">
        <f t="shared" si="19"/>
        <v/>
      </c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spans="1:24" s="64" customFormat="1" x14ac:dyDescent="0.4">
      <c r="A195" s="68" t="str">
        <f>IF(B195&lt;&gt;"",COUNTA($B$35:B195),"")</f>
        <v/>
      </c>
      <c r="B195" s="30"/>
      <c r="C195" s="30"/>
      <c r="D195" s="62" t="str">
        <f t="shared" si="18"/>
        <v/>
      </c>
      <c r="E195" s="68" t="str">
        <f t="shared" si="21"/>
        <v/>
      </c>
      <c r="F195" s="68" t="str">
        <f t="shared" si="20"/>
        <v/>
      </c>
      <c r="G195" s="63" t="str">
        <f t="shared" si="19"/>
        <v/>
      </c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spans="1:24" s="64" customFormat="1" x14ac:dyDescent="0.4">
      <c r="A196" s="68" t="str">
        <f>IF(B196&lt;&gt;"",COUNTA($B$35:B196),"")</f>
        <v/>
      </c>
      <c r="B196" s="30"/>
      <c r="C196" s="30"/>
      <c r="D196" s="62" t="str">
        <f t="shared" si="18"/>
        <v/>
      </c>
      <c r="E196" s="68" t="str">
        <f t="shared" si="21"/>
        <v/>
      </c>
      <c r="F196" s="68" t="str">
        <f t="shared" si="20"/>
        <v/>
      </c>
      <c r="G196" s="63" t="str">
        <f t="shared" si="19"/>
        <v/>
      </c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spans="1:24" s="64" customFormat="1" x14ac:dyDescent="0.4">
      <c r="A197" s="68" t="str">
        <f>IF(B197&lt;&gt;"",COUNTA($B$35:B197),"")</f>
        <v/>
      </c>
      <c r="B197" s="30"/>
      <c r="C197" s="30"/>
      <c r="D197" s="62" t="str">
        <f t="shared" si="18"/>
        <v/>
      </c>
      <c r="E197" s="68" t="str">
        <f t="shared" si="21"/>
        <v/>
      </c>
      <c r="F197" s="68" t="str">
        <f t="shared" si="20"/>
        <v/>
      </c>
      <c r="G197" s="63" t="str">
        <f t="shared" si="19"/>
        <v/>
      </c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spans="1:24" s="64" customFormat="1" x14ac:dyDescent="0.4">
      <c r="A198" s="68" t="str">
        <f>IF(B198&lt;&gt;"",COUNTA($B$35:B198),"")</f>
        <v/>
      </c>
      <c r="B198" s="30"/>
      <c r="C198" s="30"/>
      <c r="D198" s="62" t="str">
        <f t="shared" si="18"/>
        <v/>
      </c>
      <c r="E198" s="68" t="str">
        <f t="shared" si="21"/>
        <v/>
      </c>
      <c r="F198" s="68" t="str">
        <f t="shared" si="20"/>
        <v/>
      </c>
      <c r="G198" s="63" t="str">
        <f t="shared" si="19"/>
        <v/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spans="1:24" s="64" customFormat="1" x14ac:dyDescent="0.4">
      <c r="A199" s="68" t="str">
        <f>IF(B199&lt;&gt;"",COUNTA($B$35:B199),"")</f>
        <v/>
      </c>
      <c r="B199" s="30"/>
      <c r="C199" s="30"/>
      <c r="D199" s="62" t="str">
        <f t="shared" si="18"/>
        <v/>
      </c>
      <c r="E199" s="68" t="str">
        <f t="shared" si="21"/>
        <v/>
      </c>
      <c r="F199" s="68" t="str">
        <f t="shared" si="20"/>
        <v/>
      </c>
      <c r="G199" s="63" t="str">
        <f t="shared" si="19"/>
        <v/>
      </c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spans="1:24" s="64" customFormat="1" x14ac:dyDescent="0.4">
      <c r="A200" s="68" t="str">
        <f>IF(B200&lt;&gt;"",COUNTA($B$35:B200),"")</f>
        <v/>
      </c>
      <c r="B200" s="30"/>
      <c r="C200" s="30"/>
      <c r="D200" s="62" t="str">
        <f t="shared" si="18"/>
        <v/>
      </c>
      <c r="E200" s="68" t="str">
        <f t="shared" si="21"/>
        <v/>
      </c>
      <c r="F200" s="68" t="str">
        <f t="shared" si="20"/>
        <v/>
      </c>
      <c r="G200" s="63" t="str">
        <f t="shared" si="19"/>
        <v/>
      </c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spans="1:24" s="64" customFormat="1" x14ac:dyDescent="0.4">
      <c r="A201" s="68" t="str">
        <f>IF(B201&lt;&gt;"",COUNTA($B$35:B201),"")</f>
        <v/>
      </c>
      <c r="B201" s="30"/>
      <c r="C201" s="30"/>
      <c r="D201" s="62" t="str">
        <f t="shared" si="18"/>
        <v/>
      </c>
      <c r="E201" s="68" t="str">
        <f t="shared" si="21"/>
        <v/>
      </c>
      <c r="F201" s="68" t="str">
        <f t="shared" si="20"/>
        <v/>
      </c>
      <c r="G201" s="63" t="str">
        <f t="shared" si="19"/>
        <v/>
      </c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spans="1:24" s="64" customFormat="1" x14ac:dyDescent="0.4">
      <c r="A202" s="68" t="str">
        <f>IF(B202&lt;&gt;"",COUNTA($B$35:B202),"")</f>
        <v/>
      </c>
      <c r="B202" s="30"/>
      <c r="C202" s="30"/>
      <c r="D202" s="62" t="str">
        <f t="shared" si="18"/>
        <v/>
      </c>
      <c r="E202" s="68" t="str">
        <f t="shared" si="21"/>
        <v/>
      </c>
      <c r="F202" s="68" t="str">
        <f t="shared" si="20"/>
        <v/>
      </c>
      <c r="G202" s="63" t="str">
        <f t="shared" si="19"/>
        <v/>
      </c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spans="1:24" s="64" customFormat="1" x14ac:dyDescent="0.4">
      <c r="A203" s="68" t="str">
        <f>IF(B203&lt;&gt;"",COUNTA($B$35:B203),"")</f>
        <v/>
      </c>
      <c r="B203" s="30"/>
      <c r="C203" s="30"/>
      <c r="D203" s="62" t="str">
        <f t="shared" si="18"/>
        <v/>
      </c>
      <c r="E203" s="68" t="str">
        <f t="shared" si="21"/>
        <v/>
      </c>
      <c r="F203" s="68" t="str">
        <f t="shared" si="20"/>
        <v/>
      </c>
      <c r="G203" s="63" t="str">
        <f t="shared" si="19"/>
        <v/>
      </c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spans="1:24" s="64" customFormat="1" x14ac:dyDescent="0.4">
      <c r="A204" s="68" t="str">
        <f>IF(B204&lt;&gt;"",COUNTA($B$35:B204),"")</f>
        <v/>
      </c>
      <c r="B204" s="30"/>
      <c r="C204" s="30"/>
      <c r="D204" s="62" t="str">
        <f t="shared" si="18"/>
        <v/>
      </c>
      <c r="E204" s="68" t="str">
        <f t="shared" si="21"/>
        <v/>
      </c>
      <c r="F204" s="68" t="str">
        <f t="shared" si="20"/>
        <v/>
      </c>
      <c r="G204" s="63" t="str">
        <f t="shared" si="19"/>
        <v/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spans="1:24" s="64" customFormat="1" x14ac:dyDescent="0.4">
      <c r="A205" s="68" t="str">
        <f>IF(B205&lt;&gt;"",COUNTA($B$35:B205),"")</f>
        <v/>
      </c>
      <c r="B205" s="30"/>
      <c r="C205" s="30"/>
      <c r="D205" s="62" t="str">
        <f t="shared" si="18"/>
        <v/>
      </c>
      <c r="E205" s="68" t="str">
        <f t="shared" si="21"/>
        <v/>
      </c>
      <c r="F205" s="68" t="str">
        <f t="shared" si="20"/>
        <v/>
      </c>
      <c r="G205" s="63" t="str">
        <f t="shared" si="19"/>
        <v/>
      </c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spans="1:24" s="64" customFormat="1" x14ac:dyDescent="0.4">
      <c r="A206" s="68" t="str">
        <f>IF(B206&lt;&gt;"",COUNTA($B$35:B206),"")</f>
        <v/>
      </c>
      <c r="B206" s="30"/>
      <c r="C206" s="30"/>
      <c r="D206" s="62" t="str">
        <f t="shared" si="18"/>
        <v/>
      </c>
      <c r="E206" s="68" t="str">
        <f t="shared" si="21"/>
        <v/>
      </c>
      <c r="F206" s="68" t="str">
        <f t="shared" si="20"/>
        <v/>
      </c>
      <c r="G206" s="63" t="str">
        <f t="shared" si="19"/>
        <v/>
      </c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spans="1:24" s="64" customFormat="1" x14ac:dyDescent="0.4">
      <c r="A207" s="68" t="str">
        <f>IF(B207&lt;&gt;"",COUNTA($B$35:B207),"")</f>
        <v/>
      </c>
      <c r="B207" s="30"/>
      <c r="C207" s="30"/>
      <c r="D207" s="62" t="str">
        <f t="shared" si="18"/>
        <v/>
      </c>
      <c r="E207" s="68" t="str">
        <f t="shared" si="21"/>
        <v/>
      </c>
      <c r="F207" s="68" t="str">
        <f t="shared" si="20"/>
        <v/>
      </c>
      <c r="G207" s="63" t="str">
        <f t="shared" si="19"/>
        <v/>
      </c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spans="1:24" s="64" customFormat="1" x14ac:dyDescent="0.4">
      <c r="A208" s="68" t="str">
        <f>IF(B208&lt;&gt;"",COUNTA($B$35:B208),"")</f>
        <v/>
      </c>
      <c r="B208" s="30"/>
      <c r="C208" s="30"/>
      <c r="D208" s="62" t="str">
        <f t="shared" si="18"/>
        <v/>
      </c>
      <c r="E208" s="68" t="str">
        <f t="shared" si="21"/>
        <v/>
      </c>
      <c r="F208" s="68" t="str">
        <f t="shared" si="20"/>
        <v/>
      </c>
      <c r="G208" s="63" t="str">
        <f t="shared" si="19"/>
        <v/>
      </c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spans="1:24" s="64" customFormat="1" x14ac:dyDescent="0.4">
      <c r="A209" s="68" t="str">
        <f>IF(B209&lt;&gt;"",COUNTA($B$35:B209),"")</f>
        <v/>
      </c>
      <c r="B209" s="30"/>
      <c r="C209" s="30"/>
      <c r="D209" s="62" t="str">
        <f t="shared" si="18"/>
        <v/>
      </c>
      <c r="E209" s="68" t="str">
        <f t="shared" si="21"/>
        <v/>
      </c>
      <c r="F209" s="68" t="str">
        <f t="shared" si="20"/>
        <v/>
      </c>
      <c r="G209" s="63" t="str">
        <f t="shared" si="19"/>
        <v/>
      </c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spans="1:24" s="64" customFormat="1" x14ac:dyDescent="0.4">
      <c r="A210" s="68" t="str">
        <f>IF(B210&lt;&gt;"",COUNTA($B$35:B210),"")</f>
        <v/>
      </c>
      <c r="B210" s="30"/>
      <c r="C210" s="30"/>
      <c r="D210" s="62" t="str">
        <f t="shared" si="18"/>
        <v/>
      </c>
      <c r="E210" s="68" t="str">
        <f t="shared" si="21"/>
        <v/>
      </c>
      <c r="F210" s="68" t="str">
        <f t="shared" si="20"/>
        <v/>
      </c>
      <c r="G210" s="63" t="str">
        <f t="shared" si="19"/>
        <v/>
      </c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spans="1:24" s="64" customFormat="1" x14ac:dyDescent="0.4">
      <c r="A211" s="68" t="str">
        <f>IF(B211&lt;&gt;"",COUNTA($B$35:B211),"")</f>
        <v/>
      </c>
      <c r="B211" s="30"/>
      <c r="C211" s="30"/>
      <c r="D211" s="62" t="str">
        <f t="shared" si="18"/>
        <v/>
      </c>
      <c r="E211" s="68" t="str">
        <f t="shared" si="21"/>
        <v/>
      </c>
      <c r="F211" s="68" t="str">
        <f t="shared" si="20"/>
        <v/>
      </c>
      <c r="G211" s="63" t="str">
        <f t="shared" si="19"/>
        <v/>
      </c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spans="1:24" s="64" customFormat="1" x14ac:dyDescent="0.4">
      <c r="A212" s="68" t="str">
        <f>IF(B212&lt;&gt;"",COUNTA($B$35:B212),"")</f>
        <v/>
      </c>
      <c r="B212" s="30"/>
      <c r="C212" s="30"/>
      <c r="D212" s="62" t="str">
        <f t="shared" si="18"/>
        <v/>
      </c>
      <c r="E212" s="68" t="str">
        <f t="shared" si="21"/>
        <v/>
      </c>
      <c r="F212" s="68" t="str">
        <f t="shared" si="20"/>
        <v/>
      </c>
      <c r="G212" s="63" t="str">
        <f t="shared" si="19"/>
        <v/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spans="1:24" s="64" customFormat="1" x14ac:dyDescent="0.4">
      <c r="A213" s="68" t="str">
        <f>IF(B213&lt;&gt;"",COUNTA($B$35:B213),"")</f>
        <v/>
      </c>
      <c r="B213" s="30"/>
      <c r="C213" s="30"/>
      <c r="D213" s="62" t="str">
        <f t="shared" si="18"/>
        <v/>
      </c>
      <c r="E213" s="68" t="str">
        <f t="shared" si="21"/>
        <v/>
      </c>
      <c r="F213" s="68" t="str">
        <f t="shared" si="20"/>
        <v/>
      </c>
      <c r="G213" s="63" t="str">
        <f t="shared" si="19"/>
        <v/>
      </c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spans="1:24" s="64" customFormat="1" x14ac:dyDescent="0.4">
      <c r="A214" s="68" t="str">
        <f>IF(B214&lt;&gt;"",COUNTA($B$35:B214),"")</f>
        <v/>
      </c>
      <c r="B214" s="30"/>
      <c r="C214" s="30"/>
      <c r="D214" s="62" t="str">
        <f t="shared" si="18"/>
        <v/>
      </c>
      <c r="E214" s="68" t="str">
        <f t="shared" si="21"/>
        <v/>
      </c>
      <c r="F214" s="68" t="str">
        <f t="shared" si="20"/>
        <v/>
      </c>
      <c r="G214" s="63" t="str">
        <f t="shared" si="19"/>
        <v/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spans="1:24" s="64" customFormat="1" x14ac:dyDescent="0.4">
      <c r="A215" s="68" t="str">
        <f>IF(B215&lt;&gt;"",COUNTA($B$35:B215),"")</f>
        <v/>
      </c>
      <c r="B215" s="30"/>
      <c r="C215" s="30"/>
      <c r="D215" s="62" t="str">
        <f t="shared" si="18"/>
        <v/>
      </c>
      <c r="E215" s="68" t="str">
        <f t="shared" si="21"/>
        <v/>
      </c>
      <c r="F215" s="68" t="str">
        <f t="shared" si="20"/>
        <v/>
      </c>
      <c r="G215" s="63" t="str">
        <f t="shared" si="19"/>
        <v/>
      </c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spans="1:24" s="64" customFormat="1" x14ac:dyDescent="0.4">
      <c r="A216" s="68" t="str">
        <f>IF(B216&lt;&gt;"",COUNTA($B$35:B216),"")</f>
        <v/>
      </c>
      <c r="B216" s="30"/>
      <c r="C216" s="30"/>
      <c r="D216" s="62" t="str">
        <f t="shared" si="18"/>
        <v/>
      </c>
      <c r="E216" s="68" t="str">
        <f t="shared" si="21"/>
        <v/>
      </c>
      <c r="F216" s="68" t="str">
        <f t="shared" si="20"/>
        <v/>
      </c>
      <c r="G216" s="63" t="str">
        <f t="shared" si="19"/>
        <v/>
      </c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spans="1:24" s="64" customFormat="1" x14ac:dyDescent="0.4">
      <c r="A217" s="68" t="str">
        <f>IF(B217&lt;&gt;"",COUNTA($B$35:B217),"")</f>
        <v/>
      </c>
      <c r="B217" s="30"/>
      <c r="C217" s="30"/>
      <c r="D217" s="62" t="str">
        <f t="shared" si="18"/>
        <v/>
      </c>
      <c r="E217" s="68" t="str">
        <f t="shared" si="21"/>
        <v/>
      </c>
      <c r="F217" s="68" t="str">
        <f t="shared" si="20"/>
        <v/>
      </c>
      <c r="G217" s="63" t="str">
        <f t="shared" si="19"/>
        <v/>
      </c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spans="1:24" s="64" customFormat="1" x14ac:dyDescent="0.4">
      <c r="A218" s="68" t="str">
        <f>IF(B218&lt;&gt;"",COUNTA($B$35:B218),"")</f>
        <v/>
      </c>
      <c r="B218" s="30"/>
      <c r="C218" s="30"/>
      <c r="D218" s="62" t="str">
        <f t="shared" si="18"/>
        <v/>
      </c>
      <c r="E218" s="68" t="str">
        <f t="shared" si="21"/>
        <v/>
      </c>
      <c r="F218" s="68" t="str">
        <f t="shared" si="20"/>
        <v/>
      </c>
      <c r="G218" s="63" t="str">
        <f t="shared" si="19"/>
        <v/>
      </c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spans="1:24" s="64" customFormat="1" x14ac:dyDescent="0.4">
      <c r="A219" s="68" t="str">
        <f>IF(B219&lt;&gt;"",COUNTA($B$35:B219),"")</f>
        <v/>
      </c>
      <c r="B219" s="30"/>
      <c r="C219" s="30"/>
      <c r="D219" s="62" t="str">
        <f t="shared" si="18"/>
        <v/>
      </c>
      <c r="E219" s="68" t="str">
        <f t="shared" si="21"/>
        <v/>
      </c>
      <c r="F219" s="68" t="str">
        <f t="shared" si="20"/>
        <v/>
      </c>
      <c r="G219" s="63" t="str">
        <f t="shared" si="19"/>
        <v/>
      </c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spans="1:24" s="64" customFormat="1" x14ac:dyDescent="0.4">
      <c r="A220" s="68" t="str">
        <f>IF(B220&lt;&gt;"",COUNTA($B$35:B220),"")</f>
        <v/>
      </c>
      <c r="B220" s="30"/>
      <c r="C220" s="30"/>
      <c r="D220" s="62" t="str">
        <f t="shared" si="18"/>
        <v/>
      </c>
      <c r="E220" s="68" t="str">
        <f t="shared" si="21"/>
        <v/>
      </c>
      <c r="F220" s="68" t="str">
        <f t="shared" si="20"/>
        <v/>
      </c>
      <c r="G220" s="63" t="str">
        <f t="shared" si="19"/>
        <v/>
      </c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spans="1:24" s="64" customFormat="1" x14ac:dyDescent="0.4">
      <c r="A221" s="68" t="str">
        <f>IF(B221&lt;&gt;"",COUNTA($B$35:B221),"")</f>
        <v/>
      </c>
      <c r="B221" s="30"/>
      <c r="C221" s="30"/>
      <c r="D221" s="62" t="str">
        <f t="shared" si="18"/>
        <v/>
      </c>
      <c r="E221" s="68" t="str">
        <f t="shared" si="21"/>
        <v/>
      </c>
      <c r="F221" s="68" t="str">
        <f t="shared" si="20"/>
        <v/>
      </c>
      <c r="G221" s="63" t="str">
        <f t="shared" si="19"/>
        <v/>
      </c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spans="1:24" s="64" customFormat="1" x14ac:dyDescent="0.4">
      <c r="A222" s="68" t="str">
        <f>IF(B222&lt;&gt;"",COUNTA($B$35:B222),"")</f>
        <v/>
      </c>
      <c r="B222" s="30"/>
      <c r="C222" s="30"/>
      <c r="D222" s="62" t="str">
        <f t="shared" si="18"/>
        <v/>
      </c>
      <c r="E222" s="68" t="str">
        <f t="shared" si="21"/>
        <v/>
      </c>
      <c r="F222" s="68" t="str">
        <f t="shared" si="20"/>
        <v/>
      </c>
      <c r="G222" s="63" t="str">
        <f t="shared" si="19"/>
        <v/>
      </c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spans="1:24" s="64" customFormat="1" x14ac:dyDescent="0.4">
      <c r="A223" s="68" t="str">
        <f>IF(B223&lt;&gt;"",COUNTA($B$35:B223),"")</f>
        <v/>
      </c>
      <c r="B223" s="30"/>
      <c r="C223" s="30"/>
      <c r="D223" s="62" t="str">
        <f t="shared" si="18"/>
        <v/>
      </c>
      <c r="E223" s="68" t="str">
        <f t="shared" si="21"/>
        <v/>
      </c>
      <c r="F223" s="68" t="str">
        <f t="shared" si="20"/>
        <v/>
      </c>
      <c r="G223" s="63" t="str">
        <f t="shared" si="19"/>
        <v/>
      </c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spans="1:24" s="64" customFormat="1" x14ac:dyDescent="0.4">
      <c r="A224" s="68" t="str">
        <f>IF(B224&lt;&gt;"",COUNTA($B$35:B224),"")</f>
        <v/>
      </c>
      <c r="B224" s="30"/>
      <c r="C224" s="30"/>
      <c r="D224" s="62" t="str">
        <f t="shared" si="18"/>
        <v/>
      </c>
      <c r="E224" s="68" t="str">
        <f t="shared" si="21"/>
        <v/>
      </c>
      <c r="F224" s="68" t="str">
        <f t="shared" si="20"/>
        <v/>
      </c>
      <c r="G224" s="63" t="str">
        <f t="shared" si="19"/>
        <v/>
      </c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s="64" customFormat="1" x14ac:dyDescent="0.4">
      <c r="A225" s="68" t="str">
        <f>IF(B225&lt;&gt;"",COUNTA($B$35:B225),"")</f>
        <v/>
      </c>
      <c r="B225" s="30"/>
      <c r="C225" s="30"/>
      <c r="D225" s="62" t="str">
        <f t="shared" ref="D225:D233" si="22">IF(C225="","",(SUM(H225:W225)/D$31)*100)</f>
        <v/>
      </c>
      <c r="E225" s="68" t="str">
        <f t="shared" si="21"/>
        <v/>
      </c>
      <c r="F225" s="68" t="str">
        <f t="shared" si="20"/>
        <v/>
      </c>
      <c r="G225" s="63" t="str">
        <f t="shared" si="19"/>
        <v/>
      </c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s="64" customFormat="1" x14ac:dyDescent="0.4">
      <c r="A226" s="68" t="str">
        <f>IF(B226&lt;&gt;"",COUNTA($B$35:B226),"")</f>
        <v/>
      </c>
      <c r="B226" s="30"/>
      <c r="C226" s="30"/>
      <c r="D226" s="62" t="str">
        <f t="shared" si="22"/>
        <v/>
      </c>
      <c r="E226" s="68" t="str">
        <f t="shared" si="21"/>
        <v/>
      </c>
      <c r="F226" s="68" t="str">
        <f t="shared" si="20"/>
        <v/>
      </c>
      <c r="G226" s="63" t="str">
        <f t="shared" ref="G226:G233" si="23">IF(D226 = "", "", IF(D226 &gt;= 70, "FCD", IF(D226 &gt;= 60, "FC", IF(D226 &gt;= 35, "SC", ""))))</f>
        <v/>
      </c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spans="1:24" s="64" customFormat="1" x14ac:dyDescent="0.4">
      <c r="A227" s="68" t="str">
        <f>IF(B227&lt;&gt;"",COUNTA($B$35:B227),"")</f>
        <v/>
      </c>
      <c r="B227" s="30"/>
      <c r="C227" s="30"/>
      <c r="D227" s="62" t="str">
        <f t="shared" si="22"/>
        <v/>
      </c>
      <c r="E227" s="68" t="str">
        <f t="shared" si="21"/>
        <v/>
      </c>
      <c r="F227" s="68" t="str">
        <f t="shared" si="20"/>
        <v/>
      </c>
      <c r="G227" s="63" t="str">
        <f t="shared" si="23"/>
        <v/>
      </c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spans="1:24" s="64" customFormat="1" x14ac:dyDescent="0.4">
      <c r="A228" s="68" t="str">
        <f>IF(B228&lt;&gt;"",COUNTA($B$35:B228),"")</f>
        <v/>
      </c>
      <c r="B228" s="30"/>
      <c r="C228" s="30"/>
      <c r="D228" s="62" t="str">
        <f t="shared" si="22"/>
        <v/>
      </c>
      <c r="E228" s="68" t="str">
        <f t="shared" si="21"/>
        <v/>
      </c>
      <c r="F228" s="68" t="str">
        <f t="shared" ref="F228:F233" si="24">IF(E228="Pass",G228, IF(E228="FAIL","FAIL",""))</f>
        <v/>
      </c>
      <c r="G228" s="63" t="str">
        <f t="shared" si="23"/>
        <v/>
      </c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spans="1:24" s="64" customFormat="1" x14ac:dyDescent="0.4">
      <c r="A229" s="68" t="str">
        <f>IF(B229&lt;&gt;"",COUNTA($B$35:B229),"")</f>
        <v/>
      </c>
      <c r="B229" s="30"/>
      <c r="C229" s="30"/>
      <c r="D229" s="62" t="str">
        <f t="shared" si="22"/>
        <v/>
      </c>
      <c r="E229" s="68" t="str">
        <f t="shared" si="21"/>
        <v/>
      </c>
      <c r="F229" s="68" t="str">
        <f t="shared" si="24"/>
        <v/>
      </c>
      <c r="G229" s="63" t="str">
        <f t="shared" si="23"/>
        <v/>
      </c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spans="1:24" s="64" customFormat="1" x14ac:dyDescent="0.4">
      <c r="A230" s="68" t="str">
        <f>IF(B230&lt;&gt;"",COUNTA($B$35:B230),"")</f>
        <v/>
      </c>
      <c r="B230" s="30"/>
      <c r="C230" s="30"/>
      <c r="D230" s="62" t="str">
        <f t="shared" si="22"/>
        <v/>
      </c>
      <c r="E230" s="68" t="str">
        <f t="shared" si="21"/>
        <v/>
      </c>
      <c r="F230" s="68" t="str">
        <f t="shared" si="24"/>
        <v/>
      </c>
      <c r="G230" s="63" t="str">
        <f t="shared" si="23"/>
        <v/>
      </c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spans="1:24" s="64" customFormat="1" x14ac:dyDescent="0.4">
      <c r="A231" s="68" t="str">
        <f>IF(B231&lt;&gt;"",COUNTA($B$35:B231),"")</f>
        <v/>
      </c>
      <c r="B231" s="30"/>
      <c r="C231" s="30"/>
      <c r="D231" s="62" t="str">
        <f t="shared" si="22"/>
        <v/>
      </c>
      <c r="E231" s="68" t="str">
        <f t="shared" si="21"/>
        <v/>
      </c>
      <c r="F231" s="68" t="str">
        <f t="shared" si="24"/>
        <v/>
      </c>
      <c r="G231" s="63" t="str">
        <f t="shared" si="23"/>
        <v/>
      </c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spans="1:24" s="64" customFormat="1" x14ac:dyDescent="0.4">
      <c r="A232" s="68" t="str">
        <f>IF(B232&lt;&gt;"",COUNTA($B$35:B232),"")</f>
        <v/>
      </c>
      <c r="B232" s="30"/>
      <c r="C232" s="30"/>
      <c r="D232" s="62" t="str">
        <f t="shared" si="22"/>
        <v/>
      </c>
      <c r="E232" s="68" t="str">
        <f t="shared" ref="E232:E233" si="25">IF(ISBLANK(B232),"",IF(OR(I232&lt;18,K232&lt;18,M232&lt;18,O232&lt;18,Q232&lt;18,S232&lt;18,U232&lt;18,W232&lt;18),"FAIL","PASS"))</f>
        <v/>
      </c>
      <c r="F232" s="68" t="str">
        <f t="shared" si="24"/>
        <v/>
      </c>
      <c r="G232" s="63" t="str">
        <f t="shared" si="23"/>
        <v/>
      </c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spans="1:24" s="64" customFormat="1" x14ac:dyDescent="0.4">
      <c r="A233" s="68" t="str">
        <f>IF(B233&lt;&gt;"",COUNTA($B$35:B233),"")</f>
        <v/>
      </c>
      <c r="B233" s="30"/>
      <c r="C233" s="30"/>
      <c r="D233" s="62" t="str">
        <f t="shared" si="22"/>
        <v/>
      </c>
      <c r="E233" s="68" t="str">
        <f t="shared" si="25"/>
        <v/>
      </c>
      <c r="F233" s="68" t="str">
        <f t="shared" si="24"/>
        <v/>
      </c>
      <c r="G233" s="63" t="str">
        <f t="shared" si="23"/>
        <v/>
      </c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spans="1:24" x14ac:dyDescent="0.4">
      <c r="A234" s="68"/>
      <c r="B234" s="15"/>
      <c r="C234" s="15"/>
      <c r="D234" s="15"/>
      <c r="E234" s="15"/>
      <c r="F234" s="15"/>
      <c r="G234" s="15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spans="1:24" x14ac:dyDescent="0.4">
      <c r="A235" s="68"/>
      <c r="B235" s="15"/>
      <c r="C235" s="15"/>
      <c r="D235" s="15"/>
      <c r="E235" s="15"/>
      <c r="F235" s="15"/>
      <c r="G235" s="15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spans="1:24" x14ac:dyDescent="0.4">
      <c r="A236" s="68"/>
      <c r="B236" s="15"/>
      <c r="C236" s="15"/>
      <c r="D236" s="15"/>
      <c r="E236" s="15"/>
      <c r="F236" s="15"/>
      <c r="G236" s="15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spans="1:24" x14ac:dyDescent="0.4">
      <c r="A237" s="68"/>
      <c r="B237" s="15"/>
      <c r="C237" s="15"/>
      <c r="D237" s="15"/>
      <c r="E237" s="15"/>
      <c r="F237" s="15"/>
      <c r="G237" s="15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spans="1:24" x14ac:dyDescent="0.4">
      <c r="A238" s="68"/>
      <c r="B238" s="15"/>
      <c r="C238" s="15"/>
      <c r="D238" s="15"/>
      <c r="E238" s="15"/>
      <c r="F238" s="15"/>
      <c r="G238" s="15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spans="1:24" x14ac:dyDescent="0.4">
      <c r="A239" s="68"/>
      <c r="B239" s="15"/>
      <c r="C239" s="15"/>
      <c r="D239" s="15"/>
      <c r="E239" s="15"/>
      <c r="F239" s="15"/>
      <c r="G239" s="15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spans="1:24" x14ac:dyDescent="0.4">
      <c r="A240" s="68"/>
      <c r="B240" s="15"/>
      <c r="C240" s="15"/>
      <c r="D240" s="15"/>
      <c r="E240" s="15"/>
      <c r="F240" s="15"/>
      <c r="G240" s="15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spans="1:24" x14ac:dyDescent="0.4">
      <c r="A241" s="68"/>
      <c r="B241" s="15"/>
      <c r="C241" s="15"/>
      <c r="D241" s="15"/>
      <c r="E241" s="15"/>
      <c r="F241" s="15"/>
      <c r="G241" s="15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spans="1:24" x14ac:dyDescent="0.4">
      <c r="A242" s="68"/>
      <c r="B242" s="15"/>
      <c r="C242" s="15"/>
      <c r="D242" s="15"/>
      <c r="E242" s="15"/>
      <c r="F242" s="15"/>
      <c r="G242" s="15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spans="1:24" x14ac:dyDescent="0.4">
      <c r="A243" s="68"/>
      <c r="B243" s="15"/>
      <c r="C243" s="15"/>
      <c r="D243" s="15"/>
      <c r="E243" s="15"/>
      <c r="F243" s="15"/>
      <c r="G243" s="15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spans="1:24" x14ac:dyDescent="0.4">
      <c r="A244" s="68"/>
      <c r="B244" s="15"/>
      <c r="C244" s="15"/>
      <c r="D244" s="15"/>
      <c r="E244" s="15"/>
      <c r="F244" s="15"/>
      <c r="G244" s="15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spans="1:24" x14ac:dyDescent="0.4">
      <c r="A245" s="68"/>
      <c r="B245" s="15"/>
      <c r="C245" s="15"/>
      <c r="D245" s="15"/>
      <c r="E245" s="15"/>
      <c r="F245" s="15"/>
      <c r="G245" s="15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spans="1:24" x14ac:dyDescent="0.4">
      <c r="A246" s="68"/>
      <c r="B246" s="15"/>
      <c r="C246" s="15"/>
      <c r="D246" s="15"/>
      <c r="E246" s="15"/>
      <c r="F246" s="15"/>
      <c r="G246" s="15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spans="1:24" x14ac:dyDescent="0.4">
      <c r="A247" s="68"/>
      <c r="B247" s="15"/>
      <c r="C247" s="15"/>
      <c r="D247" s="15"/>
      <c r="E247" s="15"/>
      <c r="F247" s="15"/>
      <c r="G247" s="15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spans="1:24" x14ac:dyDescent="0.4">
      <c r="A248" s="68"/>
      <c r="B248" s="15"/>
      <c r="C248" s="15"/>
      <c r="D248" s="15"/>
      <c r="E248" s="15"/>
      <c r="F248" s="15"/>
      <c r="G248" s="15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spans="1:24" x14ac:dyDescent="0.4">
      <c r="A249" s="68"/>
      <c r="B249" s="15"/>
      <c r="C249" s="15"/>
      <c r="D249" s="15"/>
      <c r="E249" s="15"/>
      <c r="F249" s="15"/>
      <c r="G249" s="15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spans="1:24" x14ac:dyDescent="0.4">
      <c r="A250" s="15"/>
      <c r="B250" s="15"/>
      <c r="C250" s="15"/>
      <c r="D250" s="15"/>
      <c r="E250" s="15"/>
      <c r="F250" s="15"/>
      <c r="G250" s="15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spans="1:24" x14ac:dyDescent="0.4">
      <c r="A251" s="15"/>
      <c r="B251" s="15"/>
      <c r="C251" s="15"/>
      <c r="D251" s="15"/>
      <c r="E251" s="15"/>
      <c r="F251" s="15"/>
      <c r="G251" s="15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spans="1:24" x14ac:dyDescent="0.4">
      <c r="A252" s="15"/>
      <c r="B252" s="15"/>
      <c r="C252" s="15"/>
      <c r="D252" s="15"/>
      <c r="E252" s="15"/>
      <c r="F252" s="15"/>
      <c r="G252" s="15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spans="1:24" x14ac:dyDescent="0.4">
      <c r="A253" s="15"/>
      <c r="B253" s="15"/>
      <c r="C253" s="15"/>
      <c r="D253" s="15"/>
      <c r="E253" s="15"/>
      <c r="F253" s="15"/>
      <c r="G253" s="15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spans="1:24" x14ac:dyDescent="0.4">
      <c r="A254" s="15"/>
      <c r="B254" s="15"/>
      <c r="C254" s="15"/>
      <c r="D254" s="15"/>
      <c r="E254" s="15"/>
      <c r="F254" s="15"/>
      <c r="G254" s="15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spans="1:24" x14ac:dyDescent="0.4">
      <c r="A255" s="15"/>
      <c r="B255" s="15"/>
      <c r="C255" s="15"/>
      <c r="D255" s="15"/>
      <c r="E255" s="15"/>
      <c r="F255" s="15"/>
      <c r="G255" s="15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spans="1:24" x14ac:dyDescent="0.4">
      <c r="A256" s="15"/>
      <c r="B256" s="15"/>
      <c r="C256" s="15"/>
      <c r="D256" s="15"/>
      <c r="E256" s="15"/>
      <c r="F256" s="15"/>
      <c r="G256" s="15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spans="1:24" x14ac:dyDescent="0.4">
      <c r="A257" s="15"/>
      <c r="B257" s="15"/>
      <c r="C257" s="15"/>
      <c r="D257" s="15"/>
      <c r="E257" s="15"/>
      <c r="F257" s="15"/>
      <c r="G257" s="15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spans="1:24" x14ac:dyDescent="0.4">
      <c r="A258" s="15"/>
      <c r="B258" s="15"/>
      <c r="C258" s="15"/>
      <c r="D258" s="15"/>
      <c r="E258" s="15"/>
      <c r="F258" s="15"/>
      <c r="G258" s="15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spans="1:24" x14ac:dyDescent="0.4">
      <c r="A259" s="15"/>
      <c r="B259" s="15"/>
      <c r="C259" s="15"/>
      <c r="D259" s="15"/>
      <c r="E259" s="15"/>
      <c r="F259" s="15"/>
      <c r="G259" s="15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spans="1:24" x14ac:dyDescent="0.4">
      <c r="A260" s="15"/>
      <c r="B260" s="15"/>
      <c r="C260" s="15"/>
      <c r="D260" s="15"/>
      <c r="E260" s="15"/>
      <c r="F260" s="15"/>
      <c r="G260" s="15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spans="1:24" x14ac:dyDescent="0.4">
      <c r="A261" s="15"/>
      <c r="B261" s="15"/>
      <c r="C261" s="15"/>
      <c r="D261" s="15"/>
      <c r="E261" s="15"/>
      <c r="F261" s="15"/>
      <c r="G261" s="15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spans="1:24" x14ac:dyDescent="0.4">
      <c r="A262" s="15"/>
      <c r="B262" s="15"/>
      <c r="C262" s="15"/>
      <c r="D262" s="15"/>
      <c r="E262" s="15"/>
      <c r="F262" s="15"/>
      <c r="G262" s="15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spans="1:24" x14ac:dyDescent="0.4">
      <c r="A263" s="15"/>
      <c r="B263" s="15"/>
      <c r="C263" s="15"/>
      <c r="D263" s="15"/>
      <c r="E263" s="15"/>
      <c r="F263" s="15"/>
      <c r="G263" s="15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spans="1:24" x14ac:dyDescent="0.4">
      <c r="A264" s="15"/>
      <c r="B264" s="15"/>
      <c r="C264" s="15"/>
      <c r="D264" s="15"/>
      <c r="E264" s="15"/>
      <c r="F264" s="15"/>
      <c r="G264" s="15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spans="1:24" x14ac:dyDescent="0.4">
      <c r="A265" s="15"/>
      <c r="B265" s="15"/>
      <c r="C265" s="15"/>
      <c r="D265" s="15"/>
      <c r="E265" s="15"/>
      <c r="F265" s="15"/>
      <c r="G265" s="15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spans="1:24" x14ac:dyDescent="0.4">
      <c r="A266" s="15"/>
      <c r="B266" s="15"/>
      <c r="C266" s="15"/>
      <c r="D266" s="15"/>
      <c r="E266" s="15"/>
      <c r="F266" s="15"/>
      <c r="G266" s="15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spans="1:24" x14ac:dyDescent="0.4">
      <c r="A267" s="15"/>
      <c r="B267" s="15"/>
      <c r="C267" s="15"/>
      <c r="D267" s="15"/>
      <c r="E267" s="15"/>
      <c r="F267" s="15"/>
      <c r="G267" s="15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spans="1:24" x14ac:dyDescent="0.4">
      <c r="A268" s="15"/>
      <c r="B268" s="15"/>
      <c r="C268" s="15"/>
      <c r="D268" s="15"/>
      <c r="E268" s="15"/>
      <c r="F268" s="15"/>
      <c r="G268" s="15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spans="1:24" x14ac:dyDescent="0.4">
      <c r="A269" s="15"/>
      <c r="B269" s="15"/>
      <c r="C269" s="15"/>
      <c r="D269" s="15"/>
      <c r="E269" s="15"/>
      <c r="F269" s="15"/>
      <c r="G269" s="15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spans="1:24" x14ac:dyDescent="0.4">
      <c r="A270" s="15"/>
      <c r="B270" s="15"/>
      <c r="C270" s="15"/>
      <c r="D270" s="15"/>
      <c r="E270" s="15"/>
      <c r="F270" s="15"/>
      <c r="G270" s="15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spans="1:24" x14ac:dyDescent="0.4">
      <c r="A271" s="15"/>
      <c r="B271" s="15"/>
      <c r="C271" s="15"/>
      <c r="D271" s="15"/>
      <c r="E271" s="15"/>
      <c r="F271" s="15"/>
      <c r="G271" s="15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spans="1:24" x14ac:dyDescent="0.4">
      <c r="A272" s="15"/>
      <c r="B272" s="15"/>
      <c r="C272" s="15"/>
      <c r="D272" s="15"/>
      <c r="E272" s="15"/>
      <c r="F272" s="15"/>
      <c r="G272" s="15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spans="1:24" x14ac:dyDescent="0.4">
      <c r="A273" s="15"/>
      <c r="B273" s="15"/>
      <c r="C273" s="15"/>
      <c r="D273" s="15"/>
      <c r="E273" s="15"/>
      <c r="F273" s="15"/>
      <c r="G273" s="15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spans="1:24" x14ac:dyDescent="0.4">
      <c r="A274" s="15"/>
      <c r="B274" s="15"/>
      <c r="C274" s="15"/>
      <c r="D274" s="15"/>
      <c r="E274" s="15"/>
      <c r="F274" s="15"/>
      <c r="G274" s="15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spans="1:24" x14ac:dyDescent="0.4">
      <c r="A275" s="15"/>
      <c r="B275" s="15"/>
      <c r="C275" s="15"/>
      <c r="D275" s="15"/>
      <c r="E275" s="15"/>
      <c r="F275" s="15"/>
      <c r="G275" s="15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spans="1:24" x14ac:dyDescent="0.4">
      <c r="A276" s="15"/>
      <c r="B276" s="15"/>
      <c r="C276" s="15"/>
      <c r="D276" s="15"/>
      <c r="E276" s="15"/>
      <c r="F276" s="15"/>
      <c r="G276" s="15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spans="1:24" x14ac:dyDescent="0.4">
      <c r="A277" s="15"/>
      <c r="B277" s="15"/>
      <c r="C277" s="15"/>
      <c r="D277" s="15"/>
      <c r="E277" s="15"/>
      <c r="F277" s="15"/>
      <c r="G277" s="15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spans="1:24" x14ac:dyDescent="0.4">
      <c r="A278" s="15"/>
      <c r="B278" s="15"/>
      <c r="C278" s="15"/>
      <c r="D278" s="15"/>
      <c r="E278" s="15"/>
      <c r="F278" s="15"/>
      <c r="G278" s="15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spans="1:24" x14ac:dyDescent="0.4">
      <c r="A279" s="15"/>
      <c r="B279" s="15"/>
      <c r="C279" s="15"/>
      <c r="D279" s="15"/>
      <c r="E279" s="15"/>
      <c r="F279" s="15"/>
      <c r="G279" s="15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spans="1:24" x14ac:dyDescent="0.4">
      <c r="A280" s="15"/>
      <c r="B280" s="15"/>
      <c r="C280" s="15"/>
      <c r="D280" s="15"/>
      <c r="E280" s="15"/>
      <c r="F280" s="15"/>
      <c r="G280" s="15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spans="1:24" x14ac:dyDescent="0.4">
      <c r="A281" s="15"/>
      <c r="B281" s="15"/>
      <c r="C281" s="15"/>
      <c r="D281" s="15"/>
      <c r="E281" s="15"/>
      <c r="F281" s="15"/>
      <c r="G281" s="15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spans="1:24" x14ac:dyDescent="0.4">
      <c r="A282" s="15"/>
      <c r="B282" s="15"/>
      <c r="C282" s="15"/>
      <c r="D282" s="15"/>
      <c r="E282" s="15"/>
      <c r="F282" s="15"/>
      <c r="G282" s="15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spans="1:24" x14ac:dyDescent="0.4">
      <c r="A283" s="15"/>
      <c r="B283" s="15"/>
      <c r="C283" s="15"/>
      <c r="D283" s="15"/>
      <c r="E283" s="15"/>
      <c r="F283" s="15"/>
      <c r="G283" s="15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spans="1:24" x14ac:dyDescent="0.4">
      <c r="A284" s="15"/>
      <c r="B284" s="15"/>
      <c r="C284" s="15"/>
      <c r="D284" s="15"/>
      <c r="E284" s="15"/>
      <c r="F284" s="15"/>
      <c r="G284" s="15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spans="1:24" x14ac:dyDescent="0.4">
      <c r="A285" s="15"/>
      <c r="B285" s="15"/>
      <c r="C285" s="15"/>
      <c r="D285" s="15"/>
      <c r="E285" s="15"/>
      <c r="F285" s="15"/>
      <c r="G285" s="15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spans="1:24" x14ac:dyDescent="0.4">
      <c r="A286" s="15"/>
      <c r="B286" s="15"/>
      <c r="C286" s="15"/>
      <c r="D286" s="15"/>
      <c r="E286" s="15"/>
      <c r="F286" s="15"/>
      <c r="G286" s="15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spans="1:24" x14ac:dyDescent="0.4">
      <c r="A287" s="15"/>
      <c r="B287" s="15"/>
      <c r="C287" s="15"/>
      <c r="D287" s="15"/>
      <c r="E287" s="15"/>
      <c r="F287" s="15"/>
      <c r="G287" s="15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spans="1:24" x14ac:dyDescent="0.4">
      <c r="A288" s="15"/>
      <c r="B288" s="15"/>
      <c r="C288" s="15"/>
      <c r="D288" s="15"/>
      <c r="E288" s="15"/>
      <c r="F288" s="15"/>
      <c r="G288" s="15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spans="1:24" x14ac:dyDescent="0.4">
      <c r="A289" s="15"/>
      <c r="B289" s="15"/>
      <c r="C289" s="15"/>
      <c r="D289" s="15"/>
      <c r="E289" s="15"/>
      <c r="F289" s="15"/>
      <c r="G289" s="15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spans="1:24" x14ac:dyDescent="0.4">
      <c r="A290" s="15"/>
      <c r="B290" s="15"/>
      <c r="C290" s="15"/>
      <c r="D290" s="15"/>
      <c r="E290" s="15"/>
      <c r="F290" s="15"/>
      <c r="G290" s="15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spans="1:24" x14ac:dyDescent="0.4">
      <c r="A291" s="15"/>
      <c r="B291" s="15"/>
      <c r="C291" s="15"/>
      <c r="D291" s="15"/>
      <c r="E291" s="15"/>
      <c r="F291" s="15"/>
      <c r="G291" s="15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spans="1:24" x14ac:dyDescent="0.4">
      <c r="A292" s="15"/>
      <c r="B292" s="15"/>
      <c r="C292" s="15"/>
      <c r="D292" s="15"/>
      <c r="E292" s="15"/>
      <c r="F292" s="15"/>
      <c r="G292" s="15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spans="1:24" x14ac:dyDescent="0.4">
      <c r="A293" s="15"/>
      <c r="B293" s="15"/>
      <c r="C293" s="15"/>
      <c r="D293" s="15"/>
      <c r="E293" s="15"/>
      <c r="F293" s="15"/>
      <c r="G293" s="15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spans="1:24" x14ac:dyDescent="0.4">
      <c r="A294" s="15"/>
      <c r="B294" s="15"/>
      <c r="C294" s="15"/>
      <c r="D294" s="15"/>
      <c r="E294" s="15"/>
      <c r="F294" s="15"/>
      <c r="G294" s="15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spans="1:24" x14ac:dyDescent="0.4">
      <c r="A295" s="15"/>
      <c r="B295" s="15"/>
      <c r="C295" s="15"/>
      <c r="D295" s="15"/>
      <c r="E295" s="15"/>
      <c r="F295" s="15"/>
      <c r="G295" s="15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spans="1:24" x14ac:dyDescent="0.4">
      <c r="A296" s="15"/>
      <c r="B296" s="15"/>
      <c r="C296" s="15"/>
      <c r="D296" s="15"/>
      <c r="E296" s="15"/>
      <c r="F296" s="15"/>
      <c r="G296" s="15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spans="1:24" x14ac:dyDescent="0.4">
      <c r="A297" s="15"/>
      <c r="B297" s="15"/>
      <c r="C297" s="15"/>
      <c r="D297" s="15"/>
      <c r="E297" s="15"/>
      <c r="F297" s="15"/>
      <c r="G297" s="15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spans="1:24" x14ac:dyDescent="0.4">
      <c r="A298" s="15"/>
      <c r="B298" s="15"/>
      <c r="C298" s="15"/>
      <c r="D298" s="15"/>
      <c r="E298" s="15"/>
      <c r="F298" s="15"/>
      <c r="G298" s="15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spans="1:24" x14ac:dyDescent="0.4">
      <c r="A299" s="15"/>
      <c r="B299" s="15"/>
      <c r="C299" s="15"/>
      <c r="D299" s="15"/>
      <c r="E299" s="15"/>
      <c r="F299" s="15"/>
      <c r="G299" s="15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spans="1:24" x14ac:dyDescent="0.4">
      <c r="A300" s="15"/>
      <c r="B300" s="15"/>
      <c r="C300" s="15"/>
      <c r="D300" s="15"/>
      <c r="E300" s="15"/>
      <c r="F300" s="15"/>
      <c r="G300" s="15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spans="1:24" x14ac:dyDescent="0.4">
      <c r="A301" s="15"/>
      <c r="B301" s="15"/>
      <c r="C301" s="15"/>
      <c r="D301" s="15"/>
      <c r="E301" s="15"/>
      <c r="F301" s="15"/>
      <c r="G301" s="15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spans="1:24" x14ac:dyDescent="0.4">
      <c r="A302" s="15"/>
      <c r="B302" s="15"/>
      <c r="C302" s="15"/>
      <c r="D302" s="15"/>
      <c r="E302" s="15"/>
      <c r="F302" s="15"/>
      <c r="G302" s="15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spans="1:24" x14ac:dyDescent="0.4">
      <c r="A303" s="15"/>
      <c r="B303" s="15"/>
      <c r="C303" s="15"/>
      <c r="D303" s="15"/>
      <c r="E303" s="15"/>
      <c r="F303" s="15"/>
      <c r="G303" s="15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spans="1:24" x14ac:dyDescent="0.4">
      <c r="A304" s="15"/>
      <c r="B304" s="15"/>
      <c r="C304" s="15"/>
      <c r="D304" s="15"/>
      <c r="E304" s="15"/>
      <c r="F304" s="15"/>
      <c r="G304" s="15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spans="1:24" x14ac:dyDescent="0.4">
      <c r="A305" s="15"/>
      <c r="B305" s="15"/>
      <c r="C305" s="15"/>
      <c r="D305" s="15"/>
      <c r="E305" s="15"/>
      <c r="F305" s="15"/>
      <c r="G305" s="15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spans="1:24" x14ac:dyDescent="0.4">
      <c r="A306" s="15"/>
      <c r="B306" s="15"/>
      <c r="C306" s="15"/>
      <c r="D306" s="15"/>
      <c r="E306" s="15"/>
      <c r="F306" s="15"/>
      <c r="G306" s="15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spans="1:24" x14ac:dyDescent="0.4">
      <c r="A307" s="15"/>
      <c r="B307" s="15"/>
      <c r="C307" s="15"/>
      <c r="D307" s="15"/>
      <c r="E307" s="15"/>
      <c r="F307" s="15"/>
      <c r="G307" s="15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spans="1:24" x14ac:dyDescent="0.4">
      <c r="A308" s="15"/>
      <c r="B308" s="15"/>
      <c r="C308" s="15"/>
      <c r="D308" s="15"/>
      <c r="E308" s="15"/>
      <c r="F308" s="15"/>
      <c r="G308" s="15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spans="1:24" x14ac:dyDescent="0.4">
      <c r="A309" s="15"/>
      <c r="B309" s="15"/>
      <c r="C309" s="15"/>
      <c r="D309" s="15"/>
      <c r="E309" s="15"/>
      <c r="F309" s="15"/>
      <c r="G309" s="15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spans="1:24" x14ac:dyDescent="0.4">
      <c r="A310" s="15"/>
      <c r="B310" s="15"/>
      <c r="C310" s="15"/>
      <c r="D310" s="15"/>
      <c r="E310" s="15"/>
      <c r="F310" s="15"/>
      <c r="G310" s="15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spans="1:24" x14ac:dyDescent="0.4">
      <c r="A311" s="15"/>
      <c r="B311" s="15"/>
      <c r="C311" s="15"/>
      <c r="D311" s="15"/>
      <c r="E311" s="15"/>
      <c r="F311" s="15"/>
      <c r="G311" s="15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spans="1:24" x14ac:dyDescent="0.4">
      <c r="A312" s="15"/>
      <c r="B312" s="15"/>
      <c r="C312" s="15"/>
      <c r="D312" s="15"/>
      <c r="E312" s="15"/>
      <c r="F312" s="15"/>
      <c r="G312" s="15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spans="1:24" x14ac:dyDescent="0.4">
      <c r="A313" s="15"/>
      <c r="B313" s="15"/>
      <c r="C313" s="15"/>
      <c r="D313" s="15"/>
      <c r="E313" s="15"/>
      <c r="F313" s="15"/>
      <c r="G313" s="15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spans="1:24" x14ac:dyDescent="0.4">
      <c r="A314" s="15"/>
      <c r="B314" s="15"/>
      <c r="C314" s="15"/>
      <c r="D314" s="15"/>
      <c r="E314" s="15"/>
      <c r="F314" s="15"/>
      <c r="G314" s="15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spans="1:24" x14ac:dyDescent="0.4">
      <c r="A315" s="15"/>
      <c r="B315" s="15"/>
      <c r="C315" s="15"/>
      <c r="D315" s="15"/>
      <c r="E315" s="15"/>
      <c r="F315" s="15"/>
      <c r="G315" s="15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spans="1:24" x14ac:dyDescent="0.4">
      <c r="A316" s="15"/>
      <c r="B316" s="15"/>
      <c r="C316" s="15"/>
      <c r="D316" s="15"/>
      <c r="E316" s="15"/>
      <c r="F316" s="15"/>
      <c r="G316" s="15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spans="1:24" x14ac:dyDescent="0.4">
      <c r="A317" s="15"/>
      <c r="B317" s="15"/>
      <c r="C317" s="15"/>
      <c r="D317" s="15"/>
      <c r="E317" s="15"/>
      <c r="F317" s="15"/>
      <c r="G317" s="15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spans="1:24" x14ac:dyDescent="0.4">
      <c r="A318" s="15"/>
      <c r="B318" s="15"/>
      <c r="C318" s="15"/>
      <c r="D318" s="15"/>
      <c r="E318" s="15"/>
      <c r="F318" s="15"/>
      <c r="G318" s="15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spans="1:24" x14ac:dyDescent="0.4">
      <c r="A319" s="15"/>
      <c r="B319" s="15"/>
      <c r="C319" s="15"/>
      <c r="D319" s="15"/>
      <c r="E319" s="15"/>
      <c r="F319" s="15"/>
      <c r="G319" s="15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spans="1:24" x14ac:dyDescent="0.4">
      <c r="A320" s="15"/>
      <c r="B320" s="15"/>
      <c r="C320" s="15"/>
      <c r="D320" s="15"/>
      <c r="E320" s="15"/>
      <c r="F320" s="15"/>
      <c r="G320" s="15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spans="1:24" x14ac:dyDescent="0.4">
      <c r="A321" s="15"/>
      <c r="B321" s="15"/>
      <c r="C321" s="15"/>
      <c r="D321" s="15"/>
      <c r="E321" s="15"/>
      <c r="F321" s="15"/>
      <c r="G321" s="15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spans="1:24" x14ac:dyDescent="0.4">
      <c r="A322" s="15"/>
      <c r="B322" s="15"/>
      <c r="C322" s="15"/>
      <c r="D322" s="15"/>
      <c r="E322" s="15"/>
      <c r="F322" s="15"/>
      <c r="G322" s="15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spans="1:24" x14ac:dyDescent="0.4">
      <c r="A323" s="15"/>
      <c r="B323" s="15"/>
      <c r="C323" s="15"/>
      <c r="D323" s="15"/>
      <c r="E323" s="15"/>
      <c r="F323" s="15"/>
      <c r="G323" s="15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spans="1:24" x14ac:dyDescent="0.4">
      <c r="A324" s="15"/>
      <c r="B324" s="15"/>
      <c r="C324" s="15"/>
      <c r="D324" s="15"/>
      <c r="E324" s="15"/>
      <c r="F324" s="15"/>
      <c r="G324" s="15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spans="1:24" x14ac:dyDescent="0.4">
      <c r="A325" s="15"/>
      <c r="B325" s="15"/>
      <c r="C325" s="15"/>
      <c r="D325" s="15"/>
      <c r="E325" s="15"/>
      <c r="F325" s="15"/>
      <c r="G325" s="15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spans="1:24" x14ac:dyDescent="0.4">
      <c r="A326" s="15"/>
      <c r="B326" s="15"/>
      <c r="C326" s="15"/>
      <c r="D326" s="15"/>
      <c r="E326" s="15"/>
      <c r="F326" s="15"/>
      <c r="G326" s="15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spans="1:24" x14ac:dyDescent="0.4">
      <c r="A327" s="15"/>
      <c r="B327" s="15"/>
      <c r="C327" s="15"/>
      <c r="D327" s="15"/>
      <c r="E327" s="15"/>
      <c r="F327" s="15"/>
      <c r="G327" s="15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spans="1:24" x14ac:dyDescent="0.4">
      <c r="A328" s="15"/>
      <c r="B328" s="15"/>
      <c r="C328" s="15"/>
      <c r="D328" s="15"/>
      <c r="E328" s="15"/>
      <c r="F328" s="15"/>
      <c r="G328" s="15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spans="1:24" x14ac:dyDescent="0.4">
      <c r="A329" s="15"/>
      <c r="B329" s="15"/>
      <c r="C329" s="15"/>
      <c r="D329" s="15"/>
      <c r="E329" s="15"/>
      <c r="F329" s="15"/>
      <c r="G329" s="15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spans="1:24" x14ac:dyDescent="0.4">
      <c r="A330" s="15"/>
      <c r="B330" s="15"/>
      <c r="C330" s="15"/>
      <c r="D330" s="15"/>
      <c r="E330" s="15"/>
      <c r="F330" s="15"/>
      <c r="G330" s="15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spans="1:24" x14ac:dyDescent="0.4">
      <c r="A331" s="15"/>
      <c r="B331" s="15"/>
      <c r="C331" s="15"/>
      <c r="D331" s="15"/>
      <c r="E331" s="15"/>
      <c r="F331" s="15"/>
      <c r="G331" s="15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spans="1:24" x14ac:dyDescent="0.4">
      <c r="A332" s="15"/>
      <c r="B332" s="15"/>
      <c r="C332" s="15"/>
      <c r="D332" s="15"/>
      <c r="E332" s="15"/>
      <c r="F332" s="15"/>
      <c r="G332" s="15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spans="1:24" x14ac:dyDescent="0.4">
      <c r="A333" s="15"/>
      <c r="B333" s="15"/>
      <c r="C333" s="15"/>
      <c r="D333" s="15"/>
      <c r="E333" s="15"/>
      <c r="F333" s="15"/>
      <c r="G333" s="15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spans="1:24" x14ac:dyDescent="0.4">
      <c r="A334" s="15"/>
      <c r="B334" s="15"/>
      <c r="C334" s="15"/>
      <c r="D334" s="15"/>
      <c r="E334" s="15"/>
      <c r="F334" s="15"/>
      <c r="G334" s="15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spans="1:24" x14ac:dyDescent="0.4">
      <c r="A335" s="15"/>
      <c r="B335" s="15"/>
      <c r="C335" s="15"/>
      <c r="D335" s="15"/>
      <c r="E335" s="15"/>
      <c r="F335" s="15"/>
      <c r="G335" s="15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spans="1:24" x14ac:dyDescent="0.4">
      <c r="A336" s="15"/>
      <c r="B336" s="15"/>
      <c r="C336" s="15"/>
      <c r="D336" s="15"/>
      <c r="E336" s="15"/>
      <c r="F336" s="15"/>
      <c r="G336" s="15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spans="1:24" x14ac:dyDescent="0.4">
      <c r="A337" s="15"/>
      <c r="B337" s="15"/>
      <c r="C337" s="15"/>
      <c r="D337" s="15"/>
      <c r="E337" s="15"/>
      <c r="F337" s="15"/>
      <c r="G337" s="15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spans="1:24" x14ac:dyDescent="0.4">
      <c r="A338" s="15"/>
      <c r="B338" s="15"/>
      <c r="C338" s="15"/>
      <c r="D338" s="15"/>
      <c r="E338" s="15"/>
      <c r="F338" s="15"/>
      <c r="G338" s="15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spans="1:24" x14ac:dyDescent="0.4">
      <c r="A339" s="15"/>
      <c r="B339" s="15"/>
      <c r="C339" s="15"/>
      <c r="D339" s="15"/>
      <c r="E339" s="15"/>
      <c r="F339" s="15"/>
      <c r="G339" s="15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spans="1:24" x14ac:dyDescent="0.4">
      <c r="A340" s="15"/>
      <c r="B340" s="15"/>
      <c r="C340" s="15"/>
      <c r="D340" s="15"/>
      <c r="E340" s="15"/>
      <c r="F340" s="15"/>
      <c r="G340" s="15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spans="1:24" x14ac:dyDescent="0.4">
      <c r="A341" s="15"/>
      <c r="B341" s="15"/>
      <c r="C341" s="15"/>
      <c r="D341" s="15"/>
      <c r="E341" s="15"/>
      <c r="F341" s="15"/>
      <c r="G341" s="15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spans="1:24" x14ac:dyDescent="0.4">
      <c r="A342" s="15"/>
      <c r="B342" s="15"/>
      <c r="C342" s="15"/>
      <c r="D342" s="15"/>
      <c r="E342" s="15"/>
      <c r="F342" s="15"/>
      <c r="G342" s="15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spans="1:24" x14ac:dyDescent="0.4">
      <c r="A343" s="15"/>
      <c r="B343" s="15"/>
      <c r="C343" s="15"/>
      <c r="D343" s="15"/>
      <c r="E343" s="15"/>
      <c r="F343" s="15"/>
      <c r="G343" s="15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spans="1:24" x14ac:dyDescent="0.4">
      <c r="A344" s="15"/>
      <c r="B344" s="15"/>
      <c r="C344" s="15"/>
      <c r="D344" s="15"/>
      <c r="E344" s="15"/>
      <c r="F344" s="15"/>
      <c r="G344" s="15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spans="1:24" x14ac:dyDescent="0.4">
      <c r="A345" s="15"/>
      <c r="B345" s="15"/>
      <c r="C345" s="15"/>
      <c r="D345" s="15"/>
      <c r="E345" s="15"/>
      <c r="F345" s="15"/>
      <c r="G345" s="15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spans="1:24" x14ac:dyDescent="0.4">
      <c r="A346" s="15"/>
      <c r="B346" s="15"/>
      <c r="C346" s="15"/>
      <c r="D346" s="15"/>
      <c r="E346" s="15"/>
      <c r="F346" s="15"/>
      <c r="G346" s="15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spans="1:24" x14ac:dyDescent="0.4">
      <c r="A347" s="15"/>
      <c r="B347" s="15"/>
      <c r="C347" s="15"/>
      <c r="D347" s="15"/>
      <c r="E347" s="15"/>
      <c r="F347" s="15"/>
      <c r="G347" s="15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spans="1:24" x14ac:dyDescent="0.4">
      <c r="A348" s="15"/>
      <c r="B348" s="15"/>
      <c r="C348" s="15"/>
      <c r="D348" s="15"/>
      <c r="E348" s="15"/>
      <c r="F348" s="15"/>
      <c r="G348" s="15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spans="1:24" x14ac:dyDescent="0.4">
      <c r="A349" s="15"/>
      <c r="B349" s="15"/>
      <c r="C349" s="15"/>
      <c r="D349" s="15"/>
      <c r="E349" s="15"/>
      <c r="F349" s="15"/>
      <c r="G349" s="15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spans="1:24" x14ac:dyDescent="0.4">
      <c r="A350" s="15"/>
      <c r="B350" s="15"/>
      <c r="C350" s="15"/>
      <c r="D350" s="15"/>
      <c r="E350" s="15"/>
      <c r="F350" s="15"/>
      <c r="G350" s="15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spans="1:24" x14ac:dyDescent="0.4">
      <c r="A351" s="15"/>
      <c r="B351" s="15"/>
      <c r="C351" s="15"/>
      <c r="D351" s="15"/>
      <c r="E351" s="15"/>
      <c r="F351" s="15"/>
      <c r="G351" s="15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spans="1:24" x14ac:dyDescent="0.4">
      <c r="A352" s="15"/>
      <c r="B352" s="15"/>
      <c r="C352" s="15"/>
      <c r="D352" s="15"/>
      <c r="E352" s="15"/>
      <c r="F352" s="15"/>
      <c r="G352" s="15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spans="1:24" x14ac:dyDescent="0.4">
      <c r="A353" s="15"/>
      <c r="B353" s="15"/>
      <c r="C353" s="15"/>
      <c r="D353" s="15"/>
      <c r="E353" s="15"/>
      <c r="F353" s="15"/>
      <c r="G353" s="15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spans="1:24" x14ac:dyDescent="0.4">
      <c r="A354" s="15"/>
      <c r="B354" s="15"/>
      <c r="C354" s="15"/>
      <c r="D354" s="15"/>
      <c r="E354" s="15"/>
      <c r="F354" s="15"/>
      <c r="G354" s="15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spans="1:24" x14ac:dyDescent="0.4">
      <c r="A355" s="15"/>
      <c r="B355" s="15"/>
      <c r="C355" s="15"/>
      <c r="D355" s="15"/>
      <c r="E355" s="15"/>
      <c r="F355" s="15"/>
      <c r="G355" s="15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spans="1:24" x14ac:dyDescent="0.4">
      <c r="A356" s="15"/>
      <c r="B356" s="15"/>
      <c r="C356" s="15"/>
      <c r="D356" s="15"/>
      <c r="E356" s="15"/>
      <c r="F356" s="15"/>
      <c r="G356" s="15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spans="1:24" x14ac:dyDescent="0.4">
      <c r="A357" s="15"/>
      <c r="B357" s="15"/>
      <c r="C357" s="15"/>
      <c r="D357" s="15"/>
      <c r="E357" s="15"/>
      <c r="F357" s="15"/>
      <c r="G357" s="15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spans="1:24" x14ac:dyDescent="0.4">
      <c r="A358" s="15"/>
      <c r="B358" s="15"/>
      <c r="C358" s="15"/>
      <c r="D358" s="15"/>
      <c r="E358" s="15"/>
      <c r="F358" s="15"/>
      <c r="G358" s="15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spans="1:24" x14ac:dyDescent="0.4">
      <c r="A359" s="15"/>
      <c r="B359" s="15"/>
      <c r="C359" s="15"/>
      <c r="D359" s="15"/>
      <c r="E359" s="15"/>
      <c r="F359" s="15"/>
      <c r="G359" s="15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spans="1:24" x14ac:dyDescent="0.4">
      <c r="A360" s="15"/>
      <c r="B360" s="15"/>
      <c r="C360" s="15"/>
      <c r="D360" s="15"/>
      <c r="E360" s="15"/>
      <c r="F360" s="15"/>
      <c r="G360" s="15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spans="1:24" x14ac:dyDescent="0.4">
      <c r="A361" s="15"/>
      <c r="B361" s="15"/>
      <c r="C361" s="15"/>
      <c r="D361" s="15"/>
      <c r="E361" s="15"/>
      <c r="F361" s="15"/>
      <c r="G361" s="15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spans="1:24" x14ac:dyDescent="0.4">
      <c r="A362" s="15"/>
      <c r="B362" s="15"/>
      <c r="C362" s="15"/>
      <c r="D362" s="15"/>
      <c r="E362" s="15"/>
      <c r="F362" s="15"/>
      <c r="G362" s="15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spans="1:24" x14ac:dyDescent="0.4">
      <c r="A363" s="15"/>
      <c r="B363" s="15"/>
      <c r="C363" s="15"/>
      <c r="D363" s="15"/>
      <c r="E363" s="15"/>
      <c r="F363" s="15"/>
      <c r="G363" s="15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spans="1:24" x14ac:dyDescent="0.4">
      <c r="A364" s="15"/>
      <c r="B364" s="15"/>
      <c r="C364" s="15"/>
      <c r="D364" s="15"/>
      <c r="E364" s="15"/>
      <c r="F364" s="15"/>
      <c r="G364" s="15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spans="1:24" x14ac:dyDescent="0.4">
      <c r="A365" s="15"/>
      <c r="B365" s="15"/>
      <c r="C365" s="15"/>
      <c r="D365" s="15"/>
      <c r="E365" s="15"/>
      <c r="F365" s="15"/>
      <c r="G365" s="15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spans="1:24" x14ac:dyDescent="0.4">
      <c r="A366" s="15"/>
      <c r="B366" s="15"/>
      <c r="C366" s="15"/>
      <c r="D366" s="15"/>
      <c r="E366" s="15"/>
      <c r="F366" s="15"/>
      <c r="G366" s="15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spans="1:24" x14ac:dyDescent="0.4">
      <c r="A367" s="15"/>
      <c r="B367" s="15"/>
      <c r="C367" s="15"/>
      <c r="D367" s="15"/>
      <c r="E367" s="15"/>
      <c r="F367" s="15"/>
      <c r="G367" s="15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spans="1:24" x14ac:dyDescent="0.4">
      <c r="A368" s="15"/>
      <c r="B368" s="15"/>
      <c r="C368" s="15"/>
      <c r="D368" s="15"/>
      <c r="E368" s="15"/>
      <c r="F368" s="15"/>
      <c r="G368" s="15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spans="1:24" x14ac:dyDescent="0.4">
      <c r="A369" s="15"/>
      <c r="B369" s="15"/>
      <c r="C369" s="15"/>
      <c r="D369" s="15"/>
      <c r="E369" s="15"/>
      <c r="F369" s="15"/>
      <c r="G369" s="15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spans="1:24" x14ac:dyDescent="0.4">
      <c r="A370" s="15"/>
      <c r="B370" s="15"/>
      <c r="C370" s="15"/>
      <c r="D370" s="15"/>
      <c r="E370" s="15"/>
      <c r="F370" s="15"/>
      <c r="G370" s="15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spans="1:24" x14ac:dyDescent="0.4">
      <c r="A371" s="15"/>
      <c r="B371" s="15"/>
      <c r="C371" s="15"/>
      <c r="D371" s="15"/>
      <c r="E371" s="15"/>
      <c r="F371" s="15"/>
      <c r="G371" s="15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spans="1:24" x14ac:dyDescent="0.4">
      <c r="A372" s="15"/>
      <c r="B372" s="15"/>
      <c r="C372" s="15"/>
      <c r="D372" s="15"/>
      <c r="E372" s="15"/>
      <c r="F372" s="15"/>
      <c r="G372" s="15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spans="1:24" x14ac:dyDescent="0.4">
      <c r="A373" s="15"/>
      <c r="B373" s="15"/>
      <c r="C373" s="15"/>
      <c r="D373" s="15"/>
      <c r="E373" s="15"/>
      <c r="F373" s="15"/>
      <c r="G373" s="15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spans="1:24" x14ac:dyDescent="0.4">
      <c r="A374" s="15"/>
      <c r="B374" s="15"/>
      <c r="C374" s="15"/>
      <c r="D374" s="15"/>
      <c r="E374" s="15"/>
      <c r="F374" s="15"/>
      <c r="G374" s="15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spans="1:24" x14ac:dyDescent="0.4">
      <c r="A375" s="15"/>
      <c r="B375" s="15"/>
      <c r="C375" s="15"/>
      <c r="D375" s="15"/>
      <c r="E375" s="15"/>
      <c r="F375" s="15"/>
      <c r="G375" s="15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spans="1:24" x14ac:dyDescent="0.4">
      <c r="A376" s="15"/>
      <c r="B376" s="15"/>
      <c r="C376" s="15"/>
      <c r="D376" s="15"/>
      <c r="E376" s="15"/>
      <c r="F376" s="15"/>
      <c r="G376" s="15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spans="1:24" x14ac:dyDescent="0.4">
      <c r="A377" s="15"/>
      <c r="B377" s="15"/>
      <c r="C377" s="15"/>
      <c r="D377" s="15"/>
      <c r="E377" s="15"/>
      <c r="F377" s="15"/>
      <c r="G377" s="15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spans="1:24" x14ac:dyDescent="0.4">
      <c r="A378" s="15"/>
      <c r="B378" s="15"/>
      <c r="C378" s="15"/>
      <c r="D378" s="15"/>
      <c r="E378" s="15"/>
      <c r="F378" s="15"/>
      <c r="G378" s="15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spans="1:24" x14ac:dyDescent="0.4">
      <c r="A379" s="15"/>
      <c r="B379" s="15"/>
      <c r="C379" s="15"/>
      <c r="D379" s="15"/>
      <c r="E379" s="15"/>
      <c r="F379" s="15"/>
      <c r="G379" s="15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spans="1:24" x14ac:dyDescent="0.4">
      <c r="A380" s="15"/>
      <c r="B380" s="15"/>
      <c r="C380" s="15"/>
      <c r="D380" s="15"/>
      <c r="E380" s="15"/>
      <c r="F380" s="15"/>
      <c r="G380" s="15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spans="1:24" x14ac:dyDescent="0.4">
      <c r="A381" s="15"/>
      <c r="B381" s="15"/>
      <c r="C381" s="15"/>
      <c r="D381" s="15"/>
      <c r="E381" s="15"/>
      <c r="F381" s="15"/>
      <c r="G381" s="15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spans="1:24" x14ac:dyDescent="0.4">
      <c r="A382" s="15"/>
      <c r="B382" s="15"/>
      <c r="C382" s="15"/>
      <c r="D382" s="15"/>
      <c r="E382" s="15"/>
      <c r="F382" s="15"/>
      <c r="G382" s="15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spans="1:24" x14ac:dyDescent="0.4">
      <c r="A383" s="15"/>
      <c r="B383" s="15"/>
      <c r="C383" s="15"/>
      <c r="D383" s="15"/>
      <c r="E383" s="15"/>
      <c r="F383" s="15"/>
      <c r="G383" s="15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spans="1:24" x14ac:dyDescent="0.4">
      <c r="A384" s="15"/>
      <c r="B384" s="15"/>
      <c r="C384" s="15"/>
      <c r="D384" s="15"/>
      <c r="E384" s="15"/>
      <c r="F384" s="15"/>
      <c r="G384" s="15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spans="1:24" x14ac:dyDescent="0.4">
      <c r="A385" s="15"/>
      <c r="B385" s="15"/>
      <c r="C385" s="15"/>
      <c r="D385" s="15"/>
      <c r="E385" s="15"/>
      <c r="F385" s="15"/>
      <c r="G385" s="15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spans="1:24" x14ac:dyDescent="0.4">
      <c r="A386" s="15"/>
      <c r="B386" s="15"/>
      <c r="C386" s="15"/>
      <c r="D386" s="15"/>
      <c r="E386" s="15"/>
      <c r="F386" s="15"/>
      <c r="G386" s="15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spans="1:24" x14ac:dyDescent="0.4">
      <c r="A387" s="15"/>
      <c r="B387" s="15"/>
      <c r="C387" s="15"/>
      <c r="D387" s="15"/>
      <c r="E387" s="15"/>
      <c r="F387" s="15"/>
      <c r="G387" s="15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spans="1:24" x14ac:dyDescent="0.4">
      <c r="A388" s="15"/>
      <c r="B388" s="15"/>
      <c r="C388" s="15"/>
      <c r="D388" s="15"/>
      <c r="E388" s="15"/>
      <c r="F388" s="15"/>
      <c r="G388" s="15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spans="1:24" x14ac:dyDescent="0.4">
      <c r="A389" s="15"/>
      <c r="B389" s="15"/>
      <c r="C389" s="15"/>
      <c r="D389" s="15"/>
      <c r="E389" s="15"/>
      <c r="F389" s="15"/>
      <c r="G389" s="15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spans="1:24" x14ac:dyDescent="0.4">
      <c r="A390" s="15"/>
      <c r="B390" s="15"/>
      <c r="C390" s="15"/>
      <c r="D390" s="15"/>
      <c r="E390" s="15"/>
      <c r="F390" s="15"/>
      <c r="G390" s="15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spans="1:24" x14ac:dyDescent="0.4">
      <c r="A391" s="15"/>
      <c r="B391" s="15"/>
      <c r="C391" s="15"/>
      <c r="D391" s="15"/>
      <c r="E391" s="15"/>
      <c r="F391" s="15"/>
      <c r="G391" s="15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spans="1:24" x14ac:dyDescent="0.4">
      <c r="A392" s="15"/>
      <c r="B392" s="15"/>
      <c r="C392" s="15"/>
      <c r="D392" s="15"/>
      <c r="E392" s="15"/>
      <c r="F392" s="15"/>
      <c r="G392" s="15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spans="1:24" x14ac:dyDescent="0.4">
      <c r="A393" s="15"/>
      <c r="B393" s="15"/>
      <c r="C393" s="15"/>
      <c r="D393" s="15"/>
      <c r="E393" s="15"/>
      <c r="F393" s="15"/>
      <c r="G393" s="15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spans="1:24" x14ac:dyDescent="0.4">
      <c r="A394" s="15"/>
      <c r="B394" s="15"/>
      <c r="C394" s="15"/>
      <c r="D394" s="15"/>
      <c r="E394" s="15"/>
      <c r="F394" s="15"/>
      <c r="G394" s="15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spans="1:24" x14ac:dyDescent="0.4">
      <c r="A395" s="15"/>
      <c r="B395" s="15"/>
      <c r="C395" s="15"/>
      <c r="D395" s="15"/>
      <c r="E395" s="15"/>
      <c r="F395" s="15"/>
      <c r="G395" s="15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spans="1:24" x14ac:dyDescent="0.4">
      <c r="A396" s="15"/>
      <c r="B396" s="15"/>
      <c r="C396" s="15"/>
      <c r="D396" s="15"/>
      <c r="E396" s="15"/>
      <c r="F396" s="15"/>
      <c r="G396" s="15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spans="1:24" x14ac:dyDescent="0.4">
      <c r="A397" s="15"/>
      <c r="B397" s="15"/>
      <c r="C397" s="15"/>
      <c r="D397" s="15"/>
      <c r="E397" s="15"/>
      <c r="F397" s="15"/>
      <c r="G397" s="15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spans="1:24" x14ac:dyDescent="0.4">
      <c r="A398" s="15"/>
      <c r="B398" s="15"/>
      <c r="C398" s="15"/>
      <c r="D398" s="15"/>
      <c r="E398" s="15"/>
      <c r="F398" s="15"/>
      <c r="G398" s="15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spans="1:24" x14ac:dyDescent="0.4">
      <c r="A399" s="15"/>
      <c r="B399" s="15"/>
      <c r="C399" s="15"/>
      <c r="D399" s="15"/>
      <c r="E399" s="15"/>
      <c r="F399" s="15"/>
      <c r="G399" s="15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spans="1:24" x14ac:dyDescent="0.4">
      <c r="A400" s="15"/>
      <c r="B400" s="15"/>
      <c r="C400" s="15"/>
      <c r="D400" s="15"/>
      <c r="E400" s="15"/>
      <c r="F400" s="15"/>
      <c r="G400" s="15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spans="1:24" x14ac:dyDescent="0.4">
      <c r="A401" s="15"/>
      <c r="B401" s="15"/>
      <c r="C401" s="15"/>
      <c r="D401" s="15"/>
      <c r="E401" s="15"/>
      <c r="F401" s="15"/>
      <c r="G401" s="15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spans="1:24" x14ac:dyDescent="0.4">
      <c r="A402" s="15"/>
      <c r="B402" s="15"/>
      <c r="C402" s="15"/>
      <c r="D402" s="15"/>
      <c r="E402" s="15"/>
      <c r="F402" s="15"/>
      <c r="G402" s="15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spans="1:24" x14ac:dyDescent="0.4">
      <c r="A403" s="15"/>
      <c r="B403" s="15"/>
      <c r="C403" s="15"/>
      <c r="D403" s="15"/>
      <c r="E403" s="15"/>
      <c r="F403" s="15"/>
      <c r="G403" s="15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spans="1:24" x14ac:dyDescent="0.4">
      <c r="A404" s="15"/>
      <c r="B404" s="15"/>
      <c r="C404" s="15"/>
      <c r="D404" s="15"/>
      <c r="E404" s="15"/>
      <c r="F404" s="15"/>
      <c r="G404" s="15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spans="1:24" x14ac:dyDescent="0.4">
      <c r="A405" s="15"/>
      <c r="B405" s="15"/>
      <c r="C405" s="15"/>
      <c r="D405" s="15"/>
      <c r="E405" s="15"/>
      <c r="F405" s="15"/>
      <c r="G405" s="15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spans="1:24" x14ac:dyDescent="0.4">
      <c r="A406" s="15"/>
      <c r="B406" s="15"/>
      <c r="C406" s="15"/>
      <c r="D406" s="15"/>
      <c r="E406" s="15"/>
      <c r="F406" s="15"/>
      <c r="G406" s="15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spans="1:24" x14ac:dyDescent="0.4">
      <c r="A407" s="15"/>
      <c r="B407" s="15"/>
      <c r="C407" s="15"/>
      <c r="D407" s="15"/>
      <c r="E407" s="15"/>
      <c r="F407" s="15"/>
      <c r="G407" s="15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spans="1:24" x14ac:dyDescent="0.4">
      <c r="A408" s="15"/>
      <c r="B408" s="15"/>
      <c r="C408" s="15"/>
      <c r="D408" s="15"/>
      <c r="E408" s="15"/>
      <c r="F408" s="15"/>
      <c r="G408" s="15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spans="1:24" x14ac:dyDescent="0.4">
      <c r="A409" s="15"/>
      <c r="B409" s="15"/>
      <c r="C409" s="15"/>
      <c r="D409" s="15"/>
      <c r="E409" s="15"/>
      <c r="F409" s="15"/>
      <c r="G409" s="15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spans="1:24" x14ac:dyDescent="0.4">
      <c r="A410" s="15"/>
      <c r="B410" s="15"/>
      <c r="C410" s="15"/>
      <c r="D410" s="15"/>
      <c r="E410" s="15"/>
      <c r="F410" s="15"/>
      <c r="G410" s="15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spans="1:24" x14ac:dyDescent="0.4">
      <c r="A411" s="15"/>
      <c r="B411" s="15"/>
      <c r="C411" s="15"/>
      <c r="D411" s="15"/>
      <c r="E411" s="15"/>
      <c r="F411" s="15"/>
      <c r="G411" s="15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spans="1:24" x14ac:dyDescent="0.4">
      <c r="A412" s="15"/>
      <c r="B412" s="15"/>
      <c r="C412" s="15"/>
      <c r="D412" s="15"/>
      <c r="E412" s="15"/>
      <c r="F412" s="15"/>
      <c r="G412" s="15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spans="1:24" x14ac:dyDescent="0.4">
      <c r="A413" s="15"/>
      <c r="B413" s="15"/>
      <c r="C413" s="15"/>
      <c r="D413" s="15"/>
      <c r="E413" s="15"/>
      <c r="F413" s="15"/>
      <c r="G413" s="15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spans="1:24" x14ac:dyDescent="0.4">
      <c r="A414" s="15"/>
      <c r="B414" s="15"/>
      <c r="C414" s="15"/>
      <c r="D414" s="15"/>
      <c r="E414" s="15"/>
      <c r="F414" s="15"/>
      <c r="G414" s="15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spans="1:24" x14ac:dyDescent="0.4">
      <c r="A415" s="15"/>
      <c r="B415" s="15"/>
      <c r="C415" s="15"/>
      <c r="D415" s="15"/>
      <c r="E415" s="15"/>
      <c r="F415" s="15"/>
      <c r="G415" s="15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spans="1:24" x14ac:dyDescent="0.4">
      <c r="A416" s="15"/>
      <c r="B416" s="15"/>
      <c r="C416" s="15"/>
      <c r="D416" s="15"/>
      <c r="E416" s="15"/>
      <c r="F416" s="15"/>
      <c r="G416" s="15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spans="1:24" x14ac:dyDescent="0.4">
      <c r="A417" s="15"/>
      <c r="B417" s="15"/>
      <c r="C417" s="15"/>
      <c r="D417" s="15"/>
      <c r="E417" s="15"/>
      <c r="F417" s="15"/>
      <c r="G417" s="15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spans="1:24" x14ac:dyDescent="0.4">
      <c r="A418" s="15"/>
      <c r="B418" s="15"/>
      <c r="C418" s="15"/>
      <c r="D418" s="15"/>
      <c r="E418" s="15"/>
      <c r="F418" s="15"/>
      <c r="G418" s="15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spans="1:24" x14ac:dyDescent="0.4">
      <c r="A419" s="15"/>
      <c r="B419" s="15"/>
      <c r="C419" s="15"/>
      <c r="D419" s="15"/>
      <c r="E419" s="15"/>
      <c r="F419" s="15"/>
      <c r="G419" s="15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spans="1:24" x14ac:dyDescent="0.4">
      <c r="A420" s="15"/>
      <c r="B420" s="15"/>
      <c r="C420" s="15"/>
      <c r="D420" s="15"/>
      <c r="E420" s="15"/>
      <c r="F420" s="15"/>
      <c r="G420" s="15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spans="1:24" x14ac:dyDescent="0.4">
      <c r="A421" s="15"/>
      <c r="B421" s="15"/>
      <c r="C421" s="15"/>
      <c r="D421" s="15"/>
      <c r="E421" s="15"/>
      <c r="F421" s="15"/>
      <c r="G421" s="15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spans="1:24" x14ac:dyDescent="0.4">
      <c r="A422" s="15"/>
      <c r="B422" s="15"/>
      <c r="C422" s="15"/>
      <c r="D422" s="15"/>
      <c r="E422" s="15"/>
      <c r="F422" s="15"/>
      <c r="G422" s="15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spans="1:24" x14ac:dyDescent="0.4">
      <c r="A423" s="15"/>
      <c r="B423" s="15"/>
      <c r="C423" s="15"/>
      <c r="D423" s="15"/>
      <c r="E423" s="15"/>
      <c r="F423" s="15"/>
      <c r="G423" s="15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spans="1:24" x14ac:dyDescent="0.4">
      <c r="A424" s="15"/>
      <c r="B424" s="15"/>
      <c r="C424" s="15"/>
      <c r="D424" s="15"/>
      <c r="E424" s="15"/>
      <c r="F424" s="15"/>
      <c r="G424" s="15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spans="1:24" x14ac:dyDescent="0.4">
      <c r="A425" s="15"/>
      <c r="B425" s="15"/>
      <c r="C425" s="15"/>
      <c r="D425" s="15"/>
      <c r="E425" s="15"/>
      <c r="F425" s="15"/>
      <c r="G425" s="15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spans="1:24" x14ac:dyDescent="0.4">
      <c r="A426" s="15"/>
      <c r="B426" s="15"/>
      <c r="C426" s="15"/>
      <c r="D426" s="15"/>
      <c r="E426" s="15"/>
      <c r="F426" s="15"/>
      <c r="G426" s="15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spans="1:24" x14ac:dyDescent="0.4">
      <c r="A427" s="15"/>
      <c r="B427" s="15"/>
      <c r="C427" s="15"/>
      <c r="D427" s="15"/>
      <c r="E427" s="15"/>
      <c r="F427" s="15"/>
      <c r="G427" s="15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spans="1:24" x14ac:dyDescent="0.4">
      <c r="A428" s="15"/>
      <c r="B428" s="15"/>
      <c r="C428" s="15"/>
      <c r="D428" s="15"/>
      <c r="E428" s="15"/>
      <c r="F428" s="15"/>
      <c r="G428" s="15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spans="1:24" x14ac:dyDescent="0.4">
      <c r="A429" s="15"/>
      <c r="B429" s="15"/>
      <c r="C429" s="15"/>
      <c r="D429" s="15"/>
      <c r="E429" s="15"/>
      <c r="F429" s="15"/>
      <c r="G429" s="15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spans="1:24" x14ac:dyDescent="0.4">
      <c r="A430" s="15"/>
      <c r="B430" s="15"/>
      <c r="C430" s="15"/>
      <c r="D430" s="15"/>
      <c r="E430" s="15"/>
      <c r="F430" s="15"/>
      <c r="G430" s="15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spans="1:24" x14ac:dyDescent="0.4">
      <c r="A431" s="15"/>
      <c r="B431" s="15"/>
      <c r="C431" s="15"/>
      <c r="D431" s="15"/>
      <c r="E431" s="15"/>
      <c r="F431" s="15"/>
      <c r="G431" s="15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spans="1:24" x14ac:dyDescent="0.4">
      <c r="A432" s="15"/>
      <c r="B432" s="15"/>
      <c r="C432" s="15"/>
      <c r="D432" s="15"/>
      <c r="E432" s="15"/>
      <c r="F432" s="15"/>
      <c r="G432" s="15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spans="1:24" x14ac:dyDescent="0.4">
      <c r="A433" s="15"/>
      <c r="B433" s="15"/>
      <c r="C433" s="15"/>
      <c r="D433" s="15"/>
      <c r="E433" s="15"/>
      <c r="F433" s="15"/>
      <c r="G433" s="15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spans="1:24" x14ac:dyDescent="0.4">
      <c r="A434" s="15"/>
      <c r="B434" s="15"/>
      <c r="C434" s="15"/>
      <c r="D434" s="15"/>
      <c r="E434" s="15"/>
      <c r="F434" s="15"/>
      <c r="G434" s="15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spans="1:24" x14ac:dyDescent="0.4">
      <c r="A435" s="15"/>
      <c r="B435" s="15"/>
      <c r="C435" s="15"/>
      <c r="D435" s="15"/>
      <c r="E435" s="15"/>
      <c r="F435" s="15"/>
      <c r="G435" s="15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spans="1:24" x14ac:dyDescent="0.4">
      <c r="A436" s="15"/>
      <c r="B436" s="15"/>
      <c r="C436" s="15"/>
      <c r="D436" s="15"/>
      <c r="E436" s="15"/>
      <c r="F436" s="15"/>
      <c r="G436" s="15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spans="1:24" x14ac:dyDescent="0.4">
      <c r="A437" s="15"/>
      <c r="B437" s="15"/>
      <c r="C437" s="15"/>
      <c r="D437" s="15"/>
      <c r="E437" s="15"/>
      <c r="F437" s="15"/>
      <c r="G437" s="15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spans="1:24" x14ac:dyDescent="0.4">
      <c r="A438" s="15"/>
      <c r="B438" s="15"/>
      <c r="C438" s="15"/>
      <c r="D438" s="15"/>
      <c r="E438" s="15"/>
      <c r="F438" s="15"/>
      <c r="G438" s="15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spans="1:24" x14ac:dyDescent="0.4">
      <c r="A439" s="15"/>
      <c r="B439" s="15"/>
      <c r="C439" s="15"/>
      <c r="D439" s="15"/>
      <c r="E439" s="15"/>
      <c r="F439" s="15"/>
      <c r="G439" s="15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spans="1:24" x14ac:dyDescent="0.4">
      <c r="A440" s="15"/>
      <c r="B440" s="15"/>
      <c r="C440" s="15"/>
      <c r="D440" s="15"/>
      <c r="E440" s="15"/>
      <c r="F440" s="15"/>
      <c r="G440" s="15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spans="1:24" x14ac:dyDescent="0.4">
      <c r="A441" s="15"/>
      <c r="B441" s="15"/>
      <c r="C441" s="15"/>
      <c r="D441" s="15"/>
      <c r="E441" s="15"/>
      <c r="F441" s="15"/>
      <c r="G441" s="15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spans="1:24" x14ac:dyDescent="0.4">
      <c r="A442" s="15"/>
      <c r="B442" s="15"/>
      <c r="C442" s="15"/>
      <c r="D442" s="15"/>
      <c r="E442" s="15"/>
      <c r="F442" s="15"/>
      <c r="G442" s="15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spans="1:24" x14ac:dyDescent="0.4">
      <c r="A443" s="15"/>
      <c r="B443" s="15"/>
      <c r="C443" s="15"/>
      <c r="D443" s="15"/>
      <c r="E443" s="15"/>
      <c r="F443" s="15"/>
      <c r="G443" s="15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spans="1:24" x14ac:dyDescent="0.4">
      <c r="A444" s="15"/>
      <c r="B444" s="15"/>
      <c r="C444" s="15"/>
      <c r="D444" s="15"/>
      <c r="E444" s="15"/>
      <c r="F444" s="15"/>
      <c r="G444" s="15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spans="1:24" x14ac:dyDescent="0.4">
      <c r="A445" s="15"/>
      <c r="B445" s="15"/>
      <c r="C445" s="15"/>
      <c r="D445" s="15"/>
      <c r="E445" s="15"/>
      <c r="F445" s="15"/>
      <c r="G445" s="15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spans="1:24" x14ac:dyDescent="0.4">
      <c r="A446" s="15"/>
      <c r="B446" s="15"/>
      <c r="C446" s="15"/>
      <c r="D446" s="15"/>
      <c r="E446" s="15"/>
      <c r="F446" s="15"/>
      <c r="G446" s="15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spans="1:24" x14ac:dyDescent="0.4">
      <c r="A447" s="15"/>
      <c r="B447" s="15"/>
      <c r="C447" s="15"/>
      <c r="D447" s="15"/>
      <c r="E447" s="15"/>
      <c r="F447" s="15"/>
      <c r="G447" s="15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spans="1:24" x14ac:dyDescent="0.4">
      <c r="A448" s="15"/>
      <c r="B448" s="15"/>
      <c r="C448" s="15"/>
      <c r="D448" s="15"/>
      <c r="E448" s="15"/>
      <c r="F448" s="15"/>
      <c r="G448" s="15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spans="1:24" x14ac:dyDescent="0.4">
      <c r="A449" s="15"/>
      <c r="B449" s="15"/>
      <c r="C449" s="15"/>
      <c r="D449" s="15"/>
      <c r="E449" s="15"/>
      <c r="F449" s="15"/>
      <c r="G449" s="15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spans="1:24" x14ac:dyDescent="0.4">
      <c r="A450" s="15"/>
      <c r="B450" s="15"/>
      <c r="C450" s="15"/>
      <c r="D450" s="15"/>
      <c r="E450" s="15"/>
      <c r="F450" s="15"/>
      <c r="G450" s="15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spans="1:24" x14ac:dyDescent="0.4">
      <c r="A451" s="15"/>
      <c r="B451" s="15"/>
      <c r="C451" s="15"/>
      <c r="D451" s="15"/>
      <c r="E451" s="15"/>
      <c r="F451" s="15"/>
      <c r="G451" s="15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spans="1:24" x14ac:dyDescent="0.4">
      <c r="A452" s="15"/>
      <c r="B452" s="15"/>
      <c r="C452" s="15"/>
      <c r="D452" s="15"/>
      <c r="E452" s="15"/>
      <c r="F452" s="15"/>
      <c r="G452" s="15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spans="1:24" x14ac:dyDescent="0.4">
      <c r="A453" s="15"/>
      <c r="B453" s="15"/>
      <c r="C453" s="15"/>
      <c r="D453" s="15"/>
      <c r="E453" s="15"/>
      <c r="F453" s="15"/>
      <c r="G453" s="15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spans="1:24" x14ac:dyDescent="0.4">
      <c r="A454" s="15"/>
      <c r="B454" s="15"/>
      <c r="C454" s="15"/>
      <c r="D454" s="15"/>
      <c r="E454" s="15"/>
      <c r="F454" s="15"/>
      <c r="G454" s="15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spans="1:24" x14ac:dyDescent="0.4">
      <c r="A455" s="15"/>
      <c r="B455" s="15"/>
      <c r="C455" s="15"/>
      <c r="D455" s="15"/>
      <c r="E455" s="15"/>
      <c r="F455" s="15"/>
      <c r="G455" s="15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spans="1:24" x14ac:dyDescent="0.4">
      <c r="A456" s="15"/>
      <c r="B456" s="15"/>
      <c r="C456" s="15"/>
      <c r="D456" s="15"/>
      <c r="E456" s="15"/>
      <c r="F456" s="15"/>
      <c r="G456" s="15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spans="1:24" x14ac:dyDescent="0.4">
      <c r="A457" s="15"/>
      <c r="B457" s="15"/>
      <c r="C457" s="15"/>
      <c r="D457" s="15"/>
      <c r="E457" s="15"/>
      <c r="F457" s="15"/>
      <c r="G457" s="15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spans="1:24" x14ac:dyDescent="0.4">
      <c r="A458" s="15"/>
      <c r="B458" s="15"/>
      <c r="C458" s="15"/>
      <c r="D458" s="15"/>
      <c r="E458" s="15"/>
      <c r="F458" s="15"/>
      <c r="G458" s="15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spans="1:24" x14ac:dyDescent="0.4">
      <c r="A459" s="15"/>
      <c r="B459" s="15"/>
      <c r="C459" s="15"/>
      <c r="D459" s="15"/>
      <c r="E459" s="15"/>
      <c r="F459" s="15"/>
      <c r="G459" s="15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spans="1:24" x14ac:dyDescent="0.4">
      <c r="A460" s="15"/>
      <c r="B460" s="15"/>
      <c r="C460" s="15"/>
      <c r="D460" s="15"/>
      <c r="E460" s="15"/>
      <c r="F460" s="15"/>
      <c r="G460" s="15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spans="1:24" x14ac:dyDescent="0.4">
      <c r="A461" s="15"/>
      <c r="B461" s="15"/>
      <c r="C461" s="15"/>
      <c r="D461" s="15"/>
      <c r="E461" s="15"/>
      <c r="F461" s="15"/>
      <c r="G461" s="15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spans="1:24" x14ac:dyDescent="0.4">
      <c r="A462" s="15"/>
      <c r="B462" s="15"/>
      <c r="C462" s="15"/>
      <c r="D462" s="15"/>
      <c r="E462" s="15"/>
      <c r="F462" s="15"/>
      <c r="G462" s="15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spans="1:24" x14ac:dyDescent="0.4">
      <c r="A463" s="15"/>
      <c r="B463" s="15"/>
      <c r="C463" s="15"/>
      <c r="D463" s="15"/>
      <c r="E463" s="15"/>
      <c r="F463" s="15"/>
      <c r="G463" s="15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spans="1:24" x14ac:dyDescent="0.4">
      <c r="A464" s="15"/>
      <c r="B464" s="15"/>
      <c r="C464" s="15"/>
      <c r="D464" s="15"/>
      <c r="E464" s="15"/>
      <c r="F464" s="15"/>
      <c r="G464" s="15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spans="1:24" x14ac:dyDescent="0.4">
      <c r="A465" s="15"/>
      <c r="B465" s="15"/>
      <c r="C465" s="15"/>
      <c r="D465" s="15"/>
      <c r="E465" s="15"/>
      <c r="F465" s="15"/>
      <c r="G465" s="15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spans="1:24" x14ac:dyDescent="0.4">
      <c r="A466" s="15"/>
      <c r="B466" s="15"/>
      <c r="C466" s="15"/>
      <c r="D466" s="15"/>
      <c r="E466" s="15"/>
      <c r="F466" s="15"/>
      <c r="G466" s="15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spans="1:24" x14ac:dyDescent="0.4">
      <c r="A467" s="15"/>
      <c r="B467" s="15"/>
      <c r="C467" s="15"/>
      <c r="D467" s="15"/>
      <c r="E467" s="15"/>
      <c r="F467" s="15"/>
      <c r="G467" s="15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spans="1:24" x14ac:dyDescent="0.4">
      <c r="A468" s="15"/>
      <c r="B468" s="15"/>
      <c r="C468" s="15"/>
      <c r="D468" s="15"/>
      <c r="E468" s="15"/>
      <c r="F468" s="15"/>
      <c r="G468" s="15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spans="1:24" x14ac:dyDescent="0.4">
      <c r="A469" s="15"/>
      <c r="B469" s="15"/>
      <c r="C469" s="15"/>
      <c r="D469" s="15"/>
      <c r="E469" s="15"/>
      <c r="F469" s="15"/>
      <c r="G469" s="15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spans="1:24" x14ac:dyDescent="0.4">
      <c r="A470" s="15"/>
      <c r="B470" s="15"/>
      <c r="C470" s="15"/>
      <c r="D470" s="15"/>
      <c r="E470" s="15"/>
      <c r="F470" s="15"/>
      <c r="G470" s="15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spans="1:24" x14ac:dyDescent="0.4">
      <c r="A471" s="15"/>
      <c r="B471" s="15"/>
      <c r="C471" s="15"/>
      <c r="D471" s="15"/>
      <c r="E471" s="15"/>
      <c r="F471" s="15"/>
      <c r="G471" s="15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spans="1:24" x14ac:dyDescent="0.4">
      <c r="A472" s="15"/>
      <c r="B472" s="15"/>
      <c r="C472" s="15"/>
      <c r="D472" s="15"/>
      <c r="E472" s="15"/>
      <c r="F472" s="15"/>
      <c r="G472" s="15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spans="1:24" x14ac:dyDescent="0.4">
      <c r="A473" s="15"/>
      <c r="B473" s="15"/>
      <c r="C473" s="15"/>
      <c r="D473" s="15"/>
      <c r="E473" s="15"/>
      <c r="F473" s="15"/>
      <c r="G473" s="15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spans="1:24" x14ac:dyDescent="0.4">
      <c r="A474" s="15"/>
      <c r="B474" s="15"/>
      <c r="C474" s="15"/>
      <c r="D474" s="15"/>
      <c r="E474" s="15"/>
      <c r="F474" s="15"/>
      <c r="G474" s="15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spans="1:24" x14ac:dyDescent="0.4">
      <c r="A475" s="15"/>
      <c r="B475" s="15"/>
      <c r="C475" s="15"/>
      <c r="D475" s="15"/>
      <c r="E475" s="15"/>
      <c r="F475" s="15"/>
      <c r="G475" s="15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spans="1:24" x14ac:dyDescent="0.4">
      <c r="A476" s="15"/>
      <c r="B476" s="15"/>
      <c r="C476" s="15"/>
      <c r="D476" s="15"/>
      <c r="E476" s="15"/>
      <c r="F476" s="15"/>
      <c r="G476" s="15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spans="1:24" x14ac:dyDescent="0.4">
      <c r="A477" s="15"/>
      <c r="B477" s="15"/>
      <c r="C477" s="15"/>
      <c r="D477" s="15"/>
      <c r="E477" s="15"/>
      <c r="F477" s="15"/>
      <c r="G477" s="15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spans="1:24" x14ac:dyDescent="0.4">
      <c r="A478" s="15"/>
      <c r="B478" s="15"/>
      <c r="C478" s="15"/>
      <c r="D478" s="15"/>
      <c r="E478" s="15"/>
      <c r="F478" s="15"/>
      <c r="G478" s="15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spans="1:24" x14ac:dyDescent="0.4">
      <c r="A479" s="15"/>
      <c r="B479" s="15"/>
      <c r="C479" s="15"/>
      <c r="D479" s="15"/>
      <c r="E479" s="15"/>
      <c r="F479" s="15"/>
      <c r="G479" s="15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spans="1:24" x14ac:dyDescent="0.4">
      <c r="A480" s="15"/>
      <c r="B480" s="15"/>
      <c r="C480" s="15"/>
      <c r="D480" s="15"/>
      <c r="E480" s="15"/>
      <c r="F480" s="15"/>
      <c r="G480" s="15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spans="1:24" x14ac:dyDescent="0.4">
      <c r="A481" s="15"/>
      <c r="B481" s="15"/>
      <c r="C481" s="15"/>
      <c r="D481" s="15"/>
      <c r="E481" s="15"/>
      <c r="F481" s="15"/>
      <c r="G481" s="15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spans="1:24" x14ac:dyDescent="0.4">
      <c r="A482" s="15"/>
      <c r="B482" s="15"/>
      <c r="C482" s="15"/>
      <c r="D482" s="15"/>
      <c r="E482" s="15"/>
      <c r="F482" s="15"/>
      <c r="G482" s="15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spans="1:24" x14ac:dyDescent="0.4">
      <c r="A483" s="15"/>
      <c r="B483" s="15"/>
      <c r="C483" s="15"/>
      <c r="D483" s="15"/>
      <c r="E483" s="15"/>
      <c r="F483" s="15"/>
      <c r="G483" s="15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spans="1:24" x14ac:dyDescent="0.4">
      <c r="A484" s="15"/>
      <c r="B484" s="15"/>
      <c r="C484" s="15"/>
      <c r="D484" s="15"/>
      <c r="E484" s="15"/>
      <c r="F484" s="15"/>
      <c r="G484" s="15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spans="1:24" x14ac:dyDescent="0.4">
      <c r="A485" s="15"/>
      <c r="B485" s="15"/>
      <c r="C485" s="15"/>
      <c r="D485" s="15"/>
      <c r="E485" s="15"/>
      <c r="F485" s="15"/>
      <c r="G485" s="15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spans="1:24" x14ac:dyDescent="0.4">
      <c r="A486" s="15"/>
      <c r="B486" s="15"/>
      <c r="C486" s="15"/>
      <c r="D486" s="15"/>
      <c r="E486" s="15"/>
      <c r="F486" s="15"/>
      <c r="G486" s="15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spans="1:24" x14ac:dyDescent="0.4">
      <c r="A487" s="15"/>
      <c r="B487" s="15"/>
      <c r="C487" s="15"/>
      <c r="D487" s="15"/>
      <c r="E487" s="15"/>
      <c r="F487" s="15"/>
      <c r="G487" s="15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spans="1:24" x14ac:dyDescent="0.4">
      <c r="A488" s="15"/>
      <c r="B488" s="15"/>
      <c r="C488" s="15"/>
      <c r="D488" s="15"/>
      <c r="E488" s="15"/>
      <c r="F488" s="15"/>
      <c r="G488" s="15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spans="1:24" x14ac:dyDescent="0.4">
      <c r="A489" s="15"/>
      <c r="B489" s="15"/>
      <c r="C489" s="15"/>
      <c r="D489" s="15"/>
      <c r="E489" s="15"/>
      <c r="F489" s="15"/>
      <c r="G489" s="15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spans="1:24" x14ac:dyDescent="0.4">
      <c r="A490" s="15"/>
      <c r="B490" s="15"/>
      <c r="C490" s="15"/>
      <c r="D490" s="15"/>
      <c r="E490" s="15"/>
      <c r="F490" s="15"/>
      <c r="G490" s="15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spans="1:24" x14ac:dyDescent="0.4">
      <c r="A491" s="15"/>
      <c r="B491" s="15"/>
      <c r="C491" s="15"/>
      <c r="D491" s="15"/>
      <c r="E491" s="15"/>
      <c r="F491" s="15"/>
      <c r="G491" s="15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spans="1:24" x14ac:dyDescent="0.4">
      <c r="A492" s="15"/>
      <c r="B492" s="15"/>
      <c r="C492" s="15"/>
      <c r="D492" s="15"/>
      <c r="E492" s="15"/>
      <c r="F492" s="15"/>
      <c r="G492" s="15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spans="1:24" x14ac:dyDescent="0.4">
      <c r="A493" s="15"/>
      <c r="B493" s="15"/>
      <c r="C493" s="15"/>
      <c r="D493" s="15"/>
      <c r="E493" s="15"/>
      <c r="F493" s="15"/>
      <c r="G493" s="15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spans="1:24" x14ac:dyDescent="0.4">
      <c r="A494" s="15"/>
      <c r="B494" s="15"/>
      <c r="C494" s="15"/>
      <c r="D494" s="15"/>
      <c r="E494" s="15"/>
      <c r="F494" s="15"/>
      <c r="G494" s="15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spans="1:24" x14ac:dyDescent="0.4">
      <c r="A495" s="15"/>
      <c r="B495" s="15"/>
      <c r="C495" s="15"/>
      <c r="D495" s="15"/>
      <c r="E495" s="15"/>
      <c r="F495" s="15"/>
      <c r="G495" s="15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spans="1:24" x14ac:dyDescent="0.4">
      <c r="A496" s="15"/>
      <c r="B496" s="15"/>
      <c r="C496" s="15"/>
      <c r="D496" s="15"/>
      <c r="E496" s="15"/>
      <c r="F496" s="15"/>
      <c r="G496" s="15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spans="1:24" x14ac:dyDescent="0.4">
      <c r="A497" s="15"/>
      <c r="B497" s="15"/>
      <c r="C497" s="15"/>
      <c r="D497" s="15"/>
      <c r="E497" s="15"/>
      <c r="F497" s="15"/>
      <c r="G497" s="15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spans="1:24" x14ac:dyDescent="0.4">
      <c r="A498" s="15"/>
      <c r="B498" s="15"/>
      <c r="C498" s="15"/>
      <c r="D498" s="15"/>
      <c r="E498" s="15"/>
      <c r="F498" s="15"/>
      <c r="G498" s="15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spans="1:24" x14ac:dyDescent="0.4">
      <c r="A499" s="15"/>
      <c r="B499" s="15"/>
      <c r="C499" s="15"/>
      <c r="D499" s="15"/>
      <c r="E499" s="15"/>
      <c r="F499" s="15"/>
      <c r="G499" s="15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spans="1:24" x14ac:dyDescent="0.4">
      <c r="A500" s="15"/>
      <c r="B500" s="15"/>
      <c r="C500" s="15"/>
      <c r="D500" s="15"/>
      <c r="E500" s="15"/>
      <c r="F500" s="15"/>
      <c r="G500" s="15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spans="1:24" x14ac:dyDescent="0.4">
      <c r="A501" s="15"/>
      <c r="B501" s="15"/>
      <c r="C501" s="15"/>
      <c r="D501" s="15"/>
      <c r="E501" s="15"/>
      <c r="F501" s="15"/>
      <c r="G501" s="15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spans="1:24" x14ac:dyDescent="0.4">
      <c r="A502" s="15"/>
      <c r="B502" s="15"/>
      <c r="C502" s="15"/>
      <c r="D502" s="15"/>
      <c r="E502" s="15"/>
      <c r="F502" s="15"/>
      <c r="G502" s="15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spans="1:24" x14ac:dyDescent="0.4">
      <c r="A503" s="15"/>
      <c r="B503" s="15"/>
      <c r="C503" s="15"/>
      <c r="D503" s="15"/>
      <c r="E503" s="15"/>
      <c r="F503" s="15"/>
      <c r="G503" s="15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spans="1:24" x14ac:dyDescent="0.4">
      <c r="A504" s="15"/>
      <c r="B504" s="15"/>
      <c r="C504" s="15"/>
      <c r="D504" s="15"/>
      <c r="E504" s="15"/>
      <c r="F504" s="15"/>
      <c r="G504" s="15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spans="1:24" x14ac:dyDescent="0.4">
      <c r="A505" s="15"/>
      <c r="B505" s="15"/>
      <c r="C505" s="15"/>
      <c r="D505" s="15"/>
      <c r="E505" s="15"/>
      <c r="F505" s="15"/>
      <c r="G505" s="15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spans="1:24" x14ac:dyDescent="0.4">
      <c r="A506" s="15"/>
      <c r="B506" s="15"/>
      <c r="C506" s="15"/>
      <c r="D506" s="15"/>
      <c r="E506" s="15"/>
      <c r="F506" s="15"/>
      <c r="G506" s="15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spans="1:24" x14ac:dyDescent="0.4">
      <c r="A507" s="15"/>
      <c r="B507" s="15"/>
      <c r="C507" s="15"/>
      <c r="D507" s="15"/>
      <c r="E507" s="15"/>
      <c r="F507" s="15"/>
      <c r="G507" s="15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spans="1:24" x14ac:dyDescent="0.4">
      <c r="A508" s="15"/>
      <c r="B508" s="15"/>
      <c r="C508" s="15"/>
      <c r="D508" s="15"/>
      <c r="E508" s="15"/>
      <c r="F508" s="15"/>
      <c r="G508" s="15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spans="1:24" x14ac:dyDescent="0.4">
      <c r="A509" s="15"/>
      <c r="B509" s="15"/>
      <c r="C509" s="15"/>
      <c r="D509" s="15"/>
      <c r="E509" s="15"/>
      <c r="F509" s="15"/>
      <c r="G509" s="15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spans="1:24" x14ac:dyDescent="0.4">
      <c r="A510" s="15"/>
      <c r="B510" s="15"/>
      <c r="C510" s="15"/>
      <c r="D510" s="15"/>
      <c r="E510" s="15"/>
      <c r="F510" s="15"/>
      <c r="G510" s="15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spans="1:24" x14ac:dyDescent="0.4">
      <c r="A511" s="15"/>
      <c r="B511" s="15"/>
      <c r="C511" s="15"/>
      <c r="D511" s="15"/>
      <c r="E511" s="15"/>
      <c r="F511" s="15"/>
      <c r="G511" s="15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spans="1:24" x14ac:dyDescent="0.4">
      <c r="A512" s="15"/>
      <c r="B512" s="15"/>
      <c r="C512" s="15"/>
      <c r="D512" s="15"/>
      <c r="E512" s="15"/>
      <c r="F512" s="15"/>
      <c r="G512" s="15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spans="1:24" x14ac:dyDescent="0.4">
      <c r="A513" s="15"/>
      <c r="B513" s="15"/>
      <c r="C513" s="15"/>
      <c r="D513" s="15"/>
      <c r="E513" s="15"/>
      <c r="F513" s="15"/>
      <c r="G513" s="15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spans="1:24" x14ac:dyDescent="0.4">
      <c r="A514" s="15"/>
      <c r="B514" s="15"/>
      <c r="C514" s="15"/>
      <c r="D514" s="15"/>
      <c r="E514" s="15"/>
      <c r="F514" s="15"/>
      <c r="G514" s="15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spans="1:24" x14ac:dyDescent="0.4">
      <c r="A515" s="15"/>
      <c r="B515" s="15"/>
      <c r="C515" s="15"/>
      <c r="D515" s="15"/>
      <c r="E515" s="15"/>
      <c r="F515" s="15"/>
      <c r="G515" s="15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spans="1:24" x14ac:dyDescent="0.4">
      <c r="A516" s="15"/>
      <c r="B516" s="15"/>
      <c r="C516" s="15"/>
      <c r="D516" s="15"/>
      <c r="E516" s="15"/>
      <c r="F516" s="15"/>
      <c r="G516" s="15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spans="1:24" x14ac:dyDescent="0.4">
      <c r="A517" s="15"/>
      <c r="B517" s="15"/>
      <c r="C517" s="15"/>
      <c r="D517" s="15"/>
      <c r="E517" s="15"/>
      <c r="F517" s="15"/>
      <c r="G517" s="15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spans="1:24" x14ac:dyDescent="0.4">
      <c r="A518" s="15"/>
      <c r="B518" s="15"/>
      <c r="C518" s="15"/>
      <c r="D518" s="15"/>
      <c r="E518" s="15"/>
      <c r="F518" s="15"/>
      <c r="G518" s="15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spans="1:24" x14ac:dyDescent="0.4">
      <c r="A519" s="15"/>
      <c r="B519" s="15"/>
      <c r="C519" s="15"/>
      <c r="D519" s="15"/>
      <c r="E519" s="15"/>
      <c r="F519" s="15"/>
      <c r="G519" s="15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spans="1:24" x14ac:dyDescent="0.4">
      <c r="A520" s="15"/>
      <c r="B520" s="15"/>
      <c r="C520" s="15"/>
      <c r="D520" s="15"/>
      <c r="E520" s="15"/>
      <c r="F520" s="15"/>
      <c r="G520" s="15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spans="1:24" x14ac:dyDescent="0.4">
      <c r="A521" s="15"/>
      <c r="B521" s="15"/>
      <c r="C521" s="15"/>
      <c r="D521" s="15"/>
      <c r="E521" s="15"/>
      <c r="F521" s="15"/>
      <c r="G521" s="15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spans="1:24" x14ac:dyDescent="0.4">
      <c r="A522" s="15"/>
      <c r="B522" s="15"/>
      <c r="C522" s="15"/>
      <c r="D522" s="15"/>
      <c r="E522" s="15"/>
      <c r="F522" s="15"/>
      <c r="G522" s="15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spans="1:24" x14ac:dyDescent="0.4">
      <c r="A523" s="15"/>
      <c r="B523" s="15"/>
      <c r="C523" s="15"/>
      <c r="D523" s="15"/>
      <c r="E523" s="15"/>
      <c r="F523" s="15"/>
      <c r="G523" s="15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spans="1:24" x14ac:dyDescent="0.4">
      <c r="A524" s="15"/>
      <c r="B524" s="15"/>
      <c r="C524" s="15"/>
      <c r="D524" s="15"/>
      <c r="E524" s="15"/>
      <c r="F524" s="15"/>
      <c r="G524" s="15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spans="1:24" x14ac:dyDescent="0.4">
      <c r="A525" s="15"/>
      <c r="B525" s="15"/>
      <c r="C525" s="15"/>
      <c r="D525" s="15"/>
      <c r="E525" s="15"/>
      <c r="F525" s="15"/>
      <c r="G525" s="15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spans="1:24" x14ac:dyDescent="0.4">
      <c r="A526" s="15"/>
      <c r="B526" s="15"/>
      <c r="C526" s="15"/>
      <c r="D526" s="15"/>
      <c r="E526" s="15"/>
      <c r="F526" s="15"/>
      <c r="G526" s="15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spans="1:24" x14ac:dyDescent="0.4">
      <c r="A527" s="15"/>
      <c r="B527" s="15"/>
      <c r="C527" s="15"/>
      <c r="D527" s="15"/>
      <c r="E527" s="15"/>
      <c r="F527" s="15"/>
      <c r="G527" s="15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spans="1:24" x14ac:dyDescent="0.4">
      <c r="A528" s="15"/>
      <c r="B528" s="15"/>
      <c r="C528" s="15"/>
      <c r="D528" s="15"/>
      <c r="E528" s="15"/>
      <c r="F528" s="15"/>
      <c r="G528" s="15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spans="1:24" x14ac:dyDescent="0.4">
      <c r="A529" s="15"/>
      <c r="B529" s="15"/>
      <c r="C529" s="15"/>
      <c r="D529" s="15"/>
      <c r="E529" s="15"/>
      <c r="F529" s="15"/>
      <c r="G529" s="15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spans="1:24" x14ac:dyDescent="0.4">
      <c r="A530" s="15"/>
      <c r="B530" s="15"/>
      <c r="C530" s="15"/>
      <c r="D530" s="15"/>
      <c r="E530" s="15"/>
      <c r="F530" s="15"/>
      <c r="G530" s="15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spans="1:24" x14ac:dyDescent="0.4">
      <c r="A531" s="15"/>
      <c r="B531" s="15"/>
      <c r="C531" s="15"/>
      <c r="D531" s="15"/>
      <c r="E531" s="15"/>
      <c r="F531" s="15"/>
      <c r="G531" s="15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spans="1:24" x14ac:dyDescent="0.4">
      <c r="A532" s="15"/>
      <c r="B532" s="15"/>
      <c r="C532" s="15"/>
      <c r="D532" s="15"/>
      <c r="E532" s="15"/>
      <c r="F532" s="15"/>
      <c r="G532" s="15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spans="1:24" x14ac:dyDescent="0.4">
      <c r="A533" s="15"/>
      <c r="B533" s="15"/>
      <c r="C533" s="15"/>
      <c r="D533" s="15"/>
      <c r="E533" s="15"/>
      <c r="F533" s="15"/>
      <c r="G533" s="15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spans="1:24" x14ac:dyDescent="0.4">
      <c r="A534" s="15"/>
      <c r="B534" s="15"/>
      <c r="C534" s="15"/>
      <c r="D534" s="15"/>
      <c r="E534" s="15"/>
      <c r="F534" s="15"/>
      <c r="G534" s="15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spans="1:24" x14ac:dyDescent="0.4">
      <c r="A535" s="15"/>
      <c r="B535" s="15"/>
      <c r="C535" s="15"/>
      <c r="D535" s="15"/>
      <c r="E535" s="15"/>
      <c r="F535" s="15"/>
      <c r="G535" s="15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spans="1:24" x14ac:dyDescent="0.4">
      <c r="A536" s="15"/>
      <c r="B536" s="15"/>
      <c r="C536" s="15"/>
      <c r="D536" s="15"/>
      <c r="E536" s="15"/>
      <c r="F536" s="15"/>
      <c r="G536" s="15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spans="1:24" x14ac:dyDescent="0.4">
      <c r="A537" s="15"/>
      <c r="B537" s="15"/>
      <c r="C537" s="15"/>
      <c r="D537" s="15"/>
      <c r="E537" s="15"/>
      <c r="F537" s="15"/>
      <c r="G537" s="15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spans="1:24" x14ac:dyDescent="0.4">
      <c r="A538" s="15"/>
      <c r="B538" s="15"/>
      <c r="C538" s="15"/>
      <c r="D538" s="15"/>
      <c r="E538" s="15"/>
      <c r="F538" s="15"/>
      <c r="G538" s="15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spans="1:24" x14ac:dyDescent="0.4">
      <c r="A539" s="15"/>
      <c r="B539" s="15"/>
      <c r="C539" s="15"/>
      <c r="D539" s="15"/>
      <c r="E539" s="15"/>
      <c r="F539" s="15"/>
      <c r="G539" s="15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spans="1:24" x14ac:dyDescent="0.4">
      <c r="A540" s="15"/>
      <c r="B540" s="15"/>
      <c r="C540" s="15"/>
      <c r="D540" s="15"/>
      <c r="E540" s="15"/>
      <c r="F540" s="15"/>
      <c r="G540" s="15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spans="1:24" x14ac:dyDescent="0.4">
      <c r="A541" s="15"/>
      <c r="B541" s="15"/>
      <c r="C541" s="15"/>
      <c r="D541" s="15"/>
      <c r="E541" s="15"/>
      <c r="F541" s="15"/>
      <c r="G541" s="15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spans="1:24" x14ac:dyDescent="0.4">
      <c r="A542" s="15"/>
      <c r="B542" s="15"/>
      <c r="C542" s="15"/>
      <c r="D542" s="15"/>
      <c r="E542" s="15"/>
      <c r="F542" s="15"/>
      <c r="G542" s="15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spans="1:24" x14ac:dyDescent="0.4">
      <c r="A543" s="15"/>
      <c r="B543" s="15"/>
      <c r="C543" s="15"/>
      <c r="D543" s="15"/>
      <c r="E543" s="15"/>
      <c r="F543" s="15"/>
      <c r="G543" s="15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spans="1:24" x14ac:dyDescent="0.4">
      <c r="A544" s="15"/>
      <c r="B544" s="15"/>
      <c r="C544" s="15"/>
      <c r="D544" s="15"/>
      <c r="E544" s="15"/>
      <c r="F544" s="15"/>
      <c r="G544" s="15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spans="1:24" x14ac:dyDescent="0.4">
      <c r="A545" s="15"/>
      <c r="B545" s="15"/>
      <c r="C545" s="15"/>
      <c r="D545" s="15"/>
      <c r="E545" s="15"/>
      <c r="F545" s="15"/>
      <c r="G545" s="15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spans="1:24" x14ac:dyDescent="0.4">
      <c r="A546" s="15"/>
      <c r="B546" s="15"/>
      <c r="C546" s="15"/>
      <c r="D546" s="15"/>
      <c r="E546" s="15"/>
      <c r="F546" s="15"/>
      <c r="G546" s="15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spans="1:24" x14ac:dyDescent="0.4">
      <c r="A547" s="15"/>
      <c r="B547" s="15"/>
      <c r="C547" s="15"/>
      <c r="D547" s="15"/>
      <c r="E547" s="15"/>
      <c r="F547" s="15"/>
      <c r="G547" s="15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spans="1:24" x14ac:dyDescent="0.4">
      <c r="A548" s="15"/>
      <c r="B548" s="15"/>
      <c r="C548" s="15"/>
      <c r="D548" s="15"/>
      <c r="E548" s="15"/>
      <c r="F548" s="15"/>
      <c r="G548" s="15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spans="1:24" x14ac:dyDescent="0.4">
      <c r="A549" s="15"/>
      <c r="B549" s="15"/>
      <c r="C549" s="15"/>
      <c r="D549" s="15"/>
      <c r="E549" s="15"/>
      <c r="F549" s="15"/>
      <c r="G549" s="15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spans="1:24" x14ac:dyDescent="0.4">
      <c r="A550" s="15"/>
      <c r="B550" s="15"/>
      <c r="C550" s="15"/>
      <c r="D550" s="15"/>
      <c r="E550" s="15"/>
      <c r="F550" s="15"/>
      <c r="G550" s="15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spans="1:24" x14ac:dyDescent="0.4">
      <c r="A551" s="15"/>
      <c r="B551" s="15"/>
      <c r="C551" s="15"/>
      <c r="D551" s="15"/>
      <c r="E551" s="15"/>
      <c r="F551" s="15"/>
      <c r="G551" s="15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spans="1:24" x14ac:dyDescent="0.4">
      <c r="A552" s="15"/>
      <c r="B552" s="15"/>
      <c r="C552" s="15"/>
      <c r="D552" s="15"/>
      <c r="E552" s="15"/>
      <c r="F552" s="15"/>
      <c r="G552" s="15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spans="1:24" x14ac:dyDescent="0.4">
      <c r="A553" s="15"/>
      <c r="B553" s="15"/>
      <c r="C553" s="15"/>
      <c r="D553" s="15"/>
      <c r="E553" s="15"/>
      <c r="F553" s="15"/>
      <c r="G553" s="15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spans="1:24" x14ac:dyDescent="0.4">
      <c r="A554" s="15"/>
      <c r="B554" s="15"/>
      <c r="C554" s="15"/>
      <c r="D554" s="15"/>
      <c r="E554" s="15"/>
      <c r="F554" s="15"/>
      <c r="G554" s="15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spans="1:24" x14ac:dyDescent="0.4">
      <c r="A555" s="15"/>
      <c r="B555" s="15"/>
      <c r="C555" s="15"/>
      <c r="D555" s="15"/>
      <c r="E555" s="15"/>
      <c r="F555" s="15"/>
      <c r="G555" s="15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spans="1:24" x14ac:dyDescent="0.4">
      <c r="A556" s="15"/>
      <c r="B556" s="15"/>
      <c r="C556" s="15"/>
      <c r="D556" s="15"/>
      <c r="E556" s="15"/>
      <c r="F556" s="15"/>
      <c r="G556" s="15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spans="1:24" x14ac:dyDescent="0.4">
      <c r="A557" s="15"/>
      <c r="B557" s="15"/>
      <c r="C557" s="15"/>
      <c r="D557" s="15"/>
      <c r="E557" s="15"/>
      <c r="F557" s="15"/>
      <c r="G557" s="15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spans="1:24" x14ac:dyDescent="0.4">
      <c r="A558" s="15"/>
      <c r="B558" s="15"/>
      <c r="C558" s="15"/>
      <c r="D558" s="15"/>
      <c r="E558" s="15"/>
      <c r="F558" s="15"/>
      <c r="G558" s="15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spans="1:24" x14ac:dyDescent="0.4">
      <c r="A559" s="15"/>
      <c r="B559" s="15"/>
      <c r="C559" s="15"/>
      <c r="D559" s="15"/>
      <c r="E559" s="15"/>
      <c r="F559" s="15"/>
      <c r="G559" s="15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spans="1:24" x14ac:dyDescent="0.4">
      <c r="A560" s="15"/>
      <c r="B560" s="15"/>
      <c r="C560" s="15"/>
      <c r="D560" s="15"/>
      <c r="E560" s="15"/>
      <c r="F560" s="15"/>
      <c r="G560" s="15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spans="1:24" x14ac:dyDescent="0.4">
      <c r="A561" s="15"/>
      <c r="B561" s="15"/>
      <c r="C561" s="15"/>
      <c r="D561" s="15"/>
      <c r="E561" s="15"/>
      <c r="F561" s="15"/>
      <c r="G561" s="15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spans="1:24" x14ac:dyDescent="0.4">
      <c r="A562" s="15"/>
      <c r="B562" s="15"/>
      <c r="C562" s="15"/>
      <c r="D562" s="15"/>
      <c r="E562" s="15"/>
      <c r="F562" s="15"/>
      <c r="G562" s="15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spans="1:24" x14ac:dyDescent="0.4">
      <c r="A563" s="15"/>
      <c r="B563" s="15"/>
      <c r="C563" s="15"/>
      <c r="D563" s="15"/>
      <c r="E563" s="15"/>
      <c r="F563" s="15"/>
      <c r="G563" s="15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</sheetData>
  <mergeCells count="117">
    <mergeCell ref="R29:S29"/>
    <mergeCell ref="T29:U29"/>
    <mergeCell ref="V29:W29"/>
    <mergeCell ref="A30:C30"/>
    <mergeCell ref="D30:F30"/>
    <mergeCell ref="T33:U33"/>
    <mergeCell ref="V33:W33"/>
    <mergeCell ref="H33:I33"/>
    <mergeCell ref="J33:K33"/>
    <mergeCell ref="L33:M33"/>
    <mergeCell ref="N33:O33"/>
    <mergeCell ref="P33:Q33"/>
    <mergeCell ref="R33:S33"/>
    <mergeCell ref="A31:C31"/>
    <mergeCell ref="D31:F31"/>
    <mergeCell ref="A33:A34"/>
    <mergeCell ref="B33:B34"/>
    <mergeCell ref="C33:C34"/>
    <mergeCell ref="D33:D34"/>
    <mergeCell ref="E33:E34"/>
    <mergeCell ref="F33:F34"/>
    <mergeCell ref="A29:C29"/>
    <mergeCell ref="D29:F29"/>
    <mergeCell ref="H29:I29"/>
    <mergeCell ref="J29:K29"/>
    <mergeCell ref="L29:M29"/>
    <mergeCell ref="N29:O29"/>
    <mergeCell ref="L28:M28"/>
    <mergeCell ref="N28:O28"/>
    <mergeCell ref="P28:Q28"/>
    <mergeCell ref="P29:Q29"/>
    <mergeCell ref="R28:S28"/>
    <mergeCell ref="T28:U28"/>
    <mergeCell ref="V28:W28"/>
    <mergeCell ref="A27:C27"/>
    <mergeCell ref="D27:F27"/>
    <mergeCell ref="A28:C28"/>
    <mergeCell ref="D28:F28"/>
    <mergeCell ref="H28:I28"/>
    <mergeCell ref="J28:K28"/>
    <mergeCell ref="A24:C24"/>
    <mergeCell ref="D24:F24"/>
    <mergeCell ref="A25:C25"/>
    <mergeCell ref="D25:F25"/>
    <mergeCell ref="A26:C26"/>
    <mergeCell ref="D26:F26"/>
    <mergeCell ref="T22:U22"/>
    <mergeCell ref="V22:W22"/>
    <mergeCell ref="H23:I23"/>
    <mergeCell ref="J23:K23"/>
    <mergeCell ref="L23:M23"/>
    <mergeCell ref="N23:O23"/>
    <mergeCell ref="P23:Q23"/>
    <mergeCell ref="R23:S23"/>
    <mergeCell ref="T23:U23"/>
    <mergeCell ref="V23:W23"/>
    <mergeCell ref="H22:I22"/>
    <mergeCell ref="J22:K22"/>
    <mergeCell ref="L22:M22"/>
    <mergeCell ref="N22:O22"/>
    <mergeCell ref="P22:Q22"/>
    <mergeCell ref="R22:S22"/>
    <mergeCell ref="H21:I21"/>
    <mergeCell ref="J21:K21"/>
    <mergeCell ref="L21:M21"/>
    <mergeCell ref="N21:O21"/>
    <mergeCell ref="P21:Q21"/>
    <mergeCell ref="R21:S21"/>
    <mergeCell ref="T21:U21"/>
    <mergeCell ref="V21:W21"/>
    <mergeCell ref="H20:I20"/>
    <mergeCell ref="J20:K20"/>
    <mergeCell ref="L20:M20"/>
    <mergeCell ref="N20:O20"/>
    <mergeCell ref="P20:Q20"/>
    <mergeCell ref="R20:S20"/>
    <mergeCell ref="H19:I19"/>
    <mergeCell ref="J19:K19"/>
    <mergeCell ref="L19:M19"/>
    <mergeCell ref="N19:O19"/>
    <mergeCell ref="P19:Q19"/>
    <mergeCell ref="R19:S19"/>
    <mergeCell ref="T19:U19"/>
    <mergeCell ref="V19:W19"/>
    <mergeCell ref="T20:U20"/>
    <mergeCell ref="V20:W20"/>
    <mergeCell ref="D18:F18"/>
    <mergeCell ref="H18:I18"/>
    <mergeCell ref="J18:K18"/>
    <mergeCell ref="L18:M18"/>
    <mergeCell ref="N18:O18"/>
    <mergeCell ref="P18:Q18"/>
    <mergeCell ref="R18:S18"/>
    <mergeCell ref="T18:U18"/>
    <mergeCell ref="V18:W18"/>
    <mergeCell ref="D17:F17"/>
    <mergeCell ref="H17:I17"/>
    <mergeCell ref="J17:K17"/>
    <mergeCell ref="L17:M17"/>
    <mergeCell ref="N17:O17"/>
    <mergeCell ref="P17:Q17"/>
    <mergeCell ref="R17:S17"/>
    <mergeCell ref="T17:U17"/>
    <mergeCell ref="V17:W17"/>
    <mergeCell ref="A1:W1"/>
    <mergeCell ref="A2:W2"/>
    <mergeCell ref="A3:W3"/>
    <mergeCell ref="A16:C16"/>
    <mergeCell ref="D16:F16"/>
    <mergeCell ref="H16:I16"/>
    <mergeCell ref="J16:K16"/>
    <mergeCell ref="L16:M16"/>
    <mergeCell ref="N16:O16"/>
    <mergeCell ref="P16:Q16"/>
    <mergeCell ref="R16:S16"/>
    <mergeCell ref="T16:U16"/>
    <mergeCell ref="V16:W16"/>
  </mergeCells>
  <conditionalFormatting sqref="H34:W34">
    <cfRule type="containsBlanks" priority="39" stopIfTrue="1">
      <formula>LEN(TRIM(H34))=0</formula>
    </cfRule>
  </conditionalFormatting>
  <conditionalFormatting sqref="D29:F29 D30">
    <cfRule type="cellIs" dxfId="30" priority="37" operator="equal">
      <formula>"YES"</formula>
    </cfRule>
    <cfRule type="cellIs" dxfId="29" priority="38" operator="equal">
      <formula>"NO"</formula>
    </cfRule>
  </conditionalFormatting>
  <conditionalFormatting sqref="H29:I30 L29:M30 P29:Q30 T29:U30">
    <cfRule type="cellIs" dxfId="28" priority="35" operator="equal">
      <formula>"YES"</formula>
    </cfRule>
    <cfRule type="cellIs" dxfId="27" priority="36" operator="equal">
      <formula>"NO"</formula>
    </cfRule>
  </conditionalFormatting>
  <conditionalFormatting sqref="J29:K30 N29:O30 R29:S30 V29:W30">
    <cfRule type="cellIs" dxfId="26" priority="33" operator="equal">
      <formula>"YES"</formula>
    </cfRule>
    <cfRule type="cellIs" dxfId="25" priority="34" operator="equal">
      <formula>"NO"</formula>
    </cfRule>
  </conditionalFormatting>
  <conditionalFormatting sqref="A97:A233">
    <cfRule type="expression" dxfId="24" priority="32">
      <formula>COUNTA($A89:$A290)=0</formula>
    </cfRule>
  </conditionalFormatting>
  <conditionalFormatting sqref="E23:F23">
    <cfRule type="cellIs" dxfId="23" priority="31" operator="greaterThan">
      <formula>0</formula>
    </cfRule>
  </conditionalFormatting>
  <conditionalFormatting sqref="H23:I23">
    <cfRule type="cellIs" dxfId="22" priority="30" operator="greaterThan">
      <formula>0</formula>
    </cfRule>
  </conditionalFormatting>
  <conditionalFormatting sqref="J23:W23">
    <cfRule type="cellIs" dxfId="21" priority="29" operator="greaterThan">
      <formula>0</formula>
    </cfRule>
  </conditionalFormatting>
  <conditionalFormatting sqref="D18:F18">
    <cfRule type="cellIs" dxfId="20" priority="28" operator="greaterThan">
      <formula>0</formula>
    </cfRule>
  </conditionalFormatting>
  <conditionalFormatting sqref="H18:I18">
    <cfRule type="cellIs" dxfId="19" priority="27" operator="greaterThan">
      <formula>0</formula>
    </cfRule>
  </conditionalFormatting>
  <conditionalFormatting sqref="J18:W18">
    <cfRule type="cellIs" dxfId="18" priority="26" operator="greaterThan">
      <formula>0</formula>
    </cfRule>
  </conditionalFormatting>
  <conditionalFormatting sqref="D35:F233">
    <cfRule type="cellIs" dxfId="17" priority="25" operator="equal">
      <formula>"FAIL"</formula>
    </cfRule>
  </conditionalFormatting>
  <conditionalFormatting sqref="F35:F233">
    <cfRule type="cellIs" dxfId="16" priority="24" operator="equal">
      <formula>"FCD"</formula>
    </cfRule>
  </conditionalFormatting>
  <conditionalFormatting sqref="H97:W233 H90:R96 V90:V96">
    <cfRule type="expression" dxfId="15" priority="22">
      <formula>"A2&lt;$D$28&amp;A2&gt;0"</formula>
    </cfRule>
  </conditionalFormatting>
  <conditionalFormatting sqref="V36 V37:W48 U35:V35 H35:S80 S81:S96 H81:R88 V49:V88">
    <cfRule type="cellIs" dxfId="14" priority="21" operator="lessThan">
      <formula>18</formula>
    </cfRule>
  </conditionalFormatting>
  <conditionalFormatting sqref="U36:U96">
    <cfRule type="cellIs" dxfId="13" priority="20" operator="lessThan">
      <formula>18</formula>
    </cfRule>
  </conditionalFormatting>
  <conditionalFormatting sqref="W35:W36">
    <cfRule type="cellIs" dxfId="12" priority="19" operator="lessThan">
      <formula>18</formula>
    </cfRule>
  </conditionalFormatting>
  <conditionalFormatting sqref="W49:W96">
    <cfRule type="cellIs" dxfId="11" priority="18" operator="lessThan">
      <formula>18</formula>
    </cfRule>
  </conditionalFormatting>
  <conditionalFormatting sqref="U89:W96 B89:R96">
    <cfRule type="cellIs" dxfId="10" priority="17" operator="lessThan">
      <formula>18</formula>
    </cfRule>
  </conditionalFormatting>
  <conditionalFormatting sqref="T35:T96">
    <cfRule type="cellIs" dxfId="9" priority="16" operator="lessThan">
      <formula>18</formula>
    </cfRule>
  </conditionalFormatting>
  <conditionalFormatting sqref="X34">
    <cfRule type="containsBlanks" priority="15" stopIfTrue="1">
      <formula>LEN(TRIM(X34))=0</formula>
    </cfRule>
  </conditionalFormatting>
  <conditionalFormatting sqref="X29:X30">
    <cfRule type="cellIs" dxfId="8" priority="13" operator="equal">
      <formula>"YES"</formula>
    </cfRule>
    <cfRule type="cellIs" dxfId="7" priority="14" operator="equal">
      <formula>"NO"</formula>
    </cfRule>
  </conditionalFormatting>
  <conditionalFormatting sqref="X23">
    <cfRule type="cellIs" dxfId="6" priority="12" operator="greaterThan">
      <formula>0</formula>
    </cfRule>
  </conditionalFormatting>
  <conditionalFormatting sqref="X18">
    <cfRule type="cellIs" dxfId="5" priority="11" operator="greaterThan">
      <formula>0</formula>
    </cfRule>
  </conditionalFormatting>
  <conditionalFormatting sqref="X90:X233">
    <cfRule type="expression" dxfId="4" priority="10">
      <formula>"A2&lt;$D$28&amp;A2&gt;0"</formula>
    </cfRule>
  </conditionalFormatting>
  <conditionalFormatting sqref="X35:X88">
    <cfRule type="cellIs" dxfId="3" priority="9" operator="lessThan">
      <formula>18</formula>
    </cfRule>
  </conditionalFormatting>
  <conditionalFormatting sqref="X89:X96">
    <cfRule type="cellIs" dxfId="2" priority="7" operator="lessThan">
      <formula>18</formula>
    </cfRule>
  </conditionalFormatting>
  <conditionalFormatting sqref="H35:X553">
    <cfRule type="cellIs" dxfId="1" priority="2" operator="equal">
      <formula>"A"</formula>
    </cfRule>
  </conditionalFormatting>
  <conditionalFormatting sqref="H35:X96">
    <cfRule type="cellIs" dxfId="0" priority="1" operator="equal">
      <formula>""""""</formula>
    </cfRule>
  </conditionalFormatting>
  <printOptions horizontalCentered="1"/>
  <pageMargins left="0" right="0.70866141732283472" top="0.39370078740157483" bottom="0" header="0" footer="0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2025-01-27T16:32:27Z</cp:lastPrinted>
  <dcterms:created xsi:type="dcterms:W3CDTF">2023-08-27T18:17:57Z</dcterms:created>
  <dcterms:modified xsi:type="dcterms:W3CDTF">2025-01-27T17:15:51Z</dcterms:modified>
</cp:coreProperties>
</file>